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ProcessData" sheetId="1" r:id="rId1"/>
  </sheets>
  <calcPr calcId="124519"/>
</workbook>
</file>

<file path=xl/calcChain.xml><?xml version="1.0" encoding="utf-8"?>
<calcChain xmlns="http://schemas.openxmlformats.org/spreadsheetml/2006/main">
  <c r="Z3" i="1"/>
  <c r="Z4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2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2"/>
  <c r="X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2"/>
  <c r="W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2"/>
  <c r="V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2"/>
</calcChain>
</file>

<file path=xl/sharedStrings.xml><?xml version="1.0" encoding="utf-8"?>
<sst xmlns="http://schemas.openxmlformats.org/spreadsheetml/2006/main" count="926" uniqueCount="268">
  <si>
    <t>Process ID</t>
  </si>
  <si>
    <t>Process Name</t>
  </si>
  <si>
    <t>Department</t>
  </si>
  <si>
    <t>Process Owner</t>
  </si>
  <si>
    <t>Start Date</t>
  </si>
  <si>
    <t>End Date</t>
  </si>
  <si>
    <t>Cycle Time Hours</t>
  </si>
  <si>
    <t>Standard Cycle Time</t>
  </si>
  <si>
    <t>Employee Assigned</t>
  </si>
  <si>
    <t>Task Volume</t>
  </si>
  <si>
    <t>Tasks Completed</t>
  </si>
  <si>
    <t>Productivity %</t>
  </si>
  <si>
    <t>Error Count</t>
  </si>
  <si>
    <t>Rework Count</t>
  </si>
  <si>
    <t>Process Cost</t>
  </si>
  <si>
    <t>Customer Complaints</t>
  </si>
  <si>
    <t>SLA Target</t>
  </si>
  <si>
    <t>SLA Achieved</t>
  </si>
  <si>
    <t>Process Status</t>
  </si>
  <si>
    <t>Improvement Opportunity</t>
  </si>
  <si>
    <t>P001</t>
  </si>
  <si>
    <t>Order Processing</t>
  </si>
  <si>
    <t>Operations</t>
  </si>
  <si>
    <t>Raj Sharma</t>
  </si>
  <si>
    <t>2026-01-01</t>
  </si>
  <si>
    <t>2026-01-02</t>
  </si>
  <si>
    <t>Amit</t>
  </si>
  <si>
    <t>Delayed</t>
  </si>
  <si>
    <t>Automation</t>
  </si>
  <si>
    <t>P002</t>
  </si>
  <si>
    <t>Invoice Verification</t>
  </si>
  <si>
    <t>Finance</t>
  </si>
  <si>
    <t>Priya Singh</t>
  </si>
  <si>
    <t>2026-01-03</t>
  </si>
  <si>
    <t>Neha</t>
  </si>
  <si>
    <t>Resource Optimization</t>
  </si>
  <si>
    <t>P003</t>
  </si>
  <si>
    <t>Inventory Reconciliation</t>
  </si>
  <si>
    <t>Amit Verma</t>
  </si>
  <si>
    <t>2026-01-04</t>
  </si>
  <si>
    <t>Rahul</t>
  </si>
  <si>
    <t>Completed</t>
  </si>
  <si>
    <t>Training Required</t>
  </si>
  <si>
    <t>P004</t>
  </si>
  <si>
    <t>Customer Onboarding</t>
  </si>
  <si>
    <t>Customer Service</t>
  </si>
  <si>
    <t>Neha Gupta</t>
  </si>
  <si>
    <t>2026-01-05</t>
  </si>
  <si>
    <t>Pooja</t>
  </si>
  <si>
    <t>Workflow Redesign</t>
  </si>
  <si>
    <t>P005</t>
  </si>
  <si>
    <t>Vendor Approval</t>
  </si>
  <si>
    <t>Procurement</t>
  </si>
  <si>
    <t>Rahul Jain</t>
  </si>
  <si>
    <t>2026-01-06</t>
  </si>
  <si>
    <t>Ankit</t>
  </si>
  <si>
    <t>SLA Monitoring</t>
  </si>
  <si>
    <t>P006</t>
  </si>
  <si>
    <t>Quality Inspection</t>
  </si>
  <si>
    <t>Quality</t>
  </si>
  <si>
    <t>Pooja Mehta</t>
  </si>
  <si>
    <t>2026-01-07</t>
  </si>
  <si>
    <t>Sonia</t>
  </si>
  <si>
    <t>Error Reduction</t>
  </si>
  <si>
    <t>P007</t>
  </si>
  <si>
    <t>Complaint Resolution</t>
  </si>
  <si>
    <t>2026-01-08</t>
  </si>
  <si>
    <t>Vikas</t>
  </si>
  <si>
    <t>P008</t>
  </si>
  <si>
    <t>IT Ticket Resolution</t>
  </si>
  <si>
    <t>IT</t>
  </si>
  <si>
    <t>2026-01-09</t>
  </si>
  <si>
    <t>Rohan</t>
  </si>
  <si>
    <t>P009</t>
  </si>
  <si>
    <t>Employee Recruitment</t>
  </si>
  <si>
    <t>HR</t>
  </si>
  <si>
    <t>2026-01-10</t>
  </si>
  <si>
    <t>Karan</t>
  </si>
  <si>
    <t>P010</t>
  </si>
  <si>
    <t>Procurement Request</t>
  </si>
  <si>
    <t>2026-01-11</t>
  </si>
  <si>
    <t>Meena</t>
  </si>
  <si>
    <t>P011</t>
  </si>
  <si>
    <t>2026-01-12</t>
  </si>
  <si>
    <t>P012</t>
  </si>
  <si>
    <t>2026-01-13</t>
  </si>
  <si>
    <t>P013</t>
  </si>
  <si>
    <t>2026-01-14</t>
  </si>
  <si>
    <t>P014</t>
  </si>
  <si>
    <t>2026-01-15</t>
  </si>
  <si>
    <t>P015</t>
  </si>
  <si>
    <t>2026-01-16</t>
  </si>
  <si>
    <t>P016</t>
  </si>
  <si>
    <t>2026-01-17</t>
  </si>
  <si>
    <t>P017</t>
  </si>
  <si>
    <t>2026-01-18</t>
  </si>
  <si>
    <t>P018</t>
  </si>
  <si>
    <t>2026-01-19</t>
  </si>
  <si>
    <t>P019</t>
  </si>
  <si>
    <t>2026-01-20</t>
  </si>
  <si>
    <t>P020</t>
  </si>
  <si>
    <t>2026-01-21</t>
  </si>
  <si>
    <t>P021</t>
  </si>
  <si>
    <t>2026-01-22</t>
  </si>
  <si>
    <t>P022</t>
  </si>
  <si>
    <t>2026-01-23</t>
  </si>
  <si>
    <t>P023</t>
  </si>
  <si>
    <t>2026-01-24</t>
  </si>
  <si>
    <t>P024</t>
  </si>
  <si>
    <t>2026-01-25</t>
  </si>
  <si>
    <t>P025</t>
  </si>
  <si>
    <t>2026-01-26</t>
  </si>
  <si>
    <t>P026</t>
  </si>
  <si>
    <t>2026-01-27</t>
  </si>
  <si>
    <t>P027</t>
  </si>
  <si>
    <t>2026-01-28</t>
  </si>
  <si>
    <t>P028</t>
  </si>
  <si>
    <t>2026-01-29</t>
  </si>
  <si>
    <t>P029</t>
  </si>
  <si>
    <t>2026-01-30</t>
  </si>
  <si>
    <t>P030</t>
  </si>
  <si>
    <t>2026-01-31</t>
  </si>
  <si>
    <t>P031</t>
  </si>
  <si>
    <t>2026-02-01</t>
  </si>
  <si>
    <t>P032</t>
  </si>
  <si>
    <t>2026-02-02</t>
  </si>
  <si>
    <t>P033</t>
  </si>
  <si>
    <t>2026-02-03</t>
  </si>
  <si>
    <t>P034</t>
  </si>
  <si>
    <t>2026-02-04</t>
  </si>
  <si>
    <t>P035</t>
  </si>
  <si>
    <t>2026-02-05</t>
  </si>
  <si>
    <t>P036</t>
  </si>
  <si>
    <t>2026-02-06</t>
  </si>
  <si>
    <t>P037</t>
  </si>
  <si>
    <t>2026-02-07</t>
  </si>
  <si>
    <t>P038</t>
  </si>
  <si>
    <t>2026-02-08</t>
  </si>
  <si>
    <t>P039</t>
  </si>
  <si>
    <t>2026-02-09</t>
  </si>
  <si>
    <t>P040</t>
  </si>
  <si>
    <t>2026-02-10</t>
  </si>
  <si>
    <t>P041</t>
  </si>
  <si>
    <t>2026-02-11</t>
  </si>
  <si>
    <t>P042</t>
  </si>
  <si>
    <t>2026-02-12</t>
  </si>
  <si>
    <t>P043</t>
  </si>
  <si>
    <t>2026-02-13</t>
  </si>
  <si>
    <t>P044</t>
  </si>
  <si>
    <t>2026-02-14</t>
  </si>
  <si>
    <t>P045</t>
  </si>
  <si>
    <t>2026-02-15</t>
  </si>
  <si>
    <t>P046</t>
  </si>
  <si>
    <t>2026-02-16</t>
  </si>
  <si>
    <t>P047</t>
  </si>
  <si>
    <t>2026-02-17</t>
  </si>
  <si>
    <t>P048</t>
  </si>
  <si>
    <t>2026-02-18</t>
  </si>
  <si>
    <t>P049</t>
  </si>
  <si>
    <t>2026-02-19</t>
  </si>
  <si>
    <t>P050</t>
  </si>
  <si>
    <t>2026-02-20</t>
  </si>
  <si>
    <t>P051</t>
  </si>
  <si>
    <t>2026-02-21</t>
  </si>
  <si>
    <t>P052</t>
  </si>
  <si>
    <t>2026-02-22</t>
  </si>
  <si>
    <t>P053</t>
  </si>
  <si>
    <t>2026-02-23</t>
  </si>
  <si>
    <t>P054</t>
  </si>
  <si>
    <t>2026-02-24</t>
  </si>
  <si>
    <t>P055</t>
  </si>
  <si>
    <t>2026-02-25</t>
  </si>
  <si>
    <t>P056</t>
  </si>
  <si>
    <t>2026-02-26</t>
  </si>
  <si>
    <t>P057</t>
  </si>
  <si>
    <t>2026-02-27</t>
  </si>
  <si>
    <t>P058</t>
  </si>
  <si>
    <t>2026-02-28</t>
  </si>
  <si>
    <t>P059</t>
  </si>
  <si>
    <t>2026-03-01</t>
  </si>
  <si>
    <t>P060</t>
  </si>
  <si>
    <t>2026-03-02</t>
  </si>
  <si>
    <t>P061</t>
  </si>
  <si>
    <t>2026-03-03</t>
  </si>
  <si>
    <t>P062</t>
  </si>
  <si>
    <t>2026-03-04</t>
  </si>
  <si>
    <t>P063</t>
  </si>
  <si>
    <t>2026-03-05</t>
  </si>
  <si>
    <t>P064</t>
  </si>
  <si>
    <t>2026-03-06</t>
  </si>
  <si>
    <t>P065</t>
  </si>
  <si>
    <t>2026-03-07</t>
  </si>
  <si>
    <t>P066</t>
  </si>
  <si>
    <t>2026-03-08</t>
  </si>
  <si>
    <t>P067</t>
  </si>
  <si>
    <t>2026-03-09</t>
  </si>
  <si>
    <t>P068</t>
  </si>
  <si>
    <t>2026-03-10</t>
  </si>
  <si>
    <t>P069</t>
  </si>
  <si>
    <t>2026-03-11</t>
  </si>
  <si>
    <t>P070</t>
  </si>
  <si>
    <t>2026-03-12</t>
  </si>
  <si>
    <t>P071</t>
  </si>
  <si>
    <t>2026-03-13</t>
  </si>
  <si>
    <t>P072</t>
  </si>
  <si>
    <t>2026-03-14</t>
  </si>
  <si>
    <t>P073</t>
  </si>
  <si>
    <t>2026-03-15</t>
  </si>
  <si>
    <t>P074</t>
  </si>
  <si>
    <t>2026-03-16</t>
  </si>
  <si>
    <t>P075</t>
  </si>
  <si>
    <t>2026-03-17</t>
  </si>
  <si>
    <t>P076</t>
  </si>
  <si>
    <t>2026-03-18</t>
  </si>
  <si>
    <t>P077</t>
  </si>
  <si>
    <t>2026-03-19</t>
  </si>
  <si>
    <t>P078</t>
  </si>
  <si>
    <t>2026-03-20</t>
  </si>
  <si>
    <t>P079</t>
  </si>
  <si>
    <t>2026-03-21</t>
  </si>
  <si>
    <t>P080</t>
  </si>
  <si>
    <t>2026-03-22</t>
  </si>
  <si>
    <t>P081</t>
  </si>
  <si>
    <t>2026-03-23</t>
  </si>
  <si>
    <t>P082</t>
  </si>
  <si>
    <t>2026-03-24</t>
  </si>
  <si>
    <t>P083</t>
  </si>
  <si>
    <t>2026-03-25</t>
  </si>
  <si>
    <t>P084</t>
  </si>
  <si>
    <t>2026-03-26</t>
  </si>
  <si>
    <t>P085</t>
  </si>
  <si>
    <t>2026-03-27</t>
  </si>
  <si>
    <t>P086</t>
  </si>
  <si>
    <t>2026-03-28</t>
  </si>
  <si>
    <t>P087</t>
  </si>
  <si>
    <t>2026-03-29</t>
  </si>
  <si>
    <t>P088</t>
  </si>
  <si>
    <t>2026-03-30</t>
  </si>
  <si>
    <t>P089</t>
  </si>
  <si>
    <t>2026-03-31</t>
  </si>
  <si>
    <t>P090</t>
  </si>
  <si>
    <t>2026-04-01</t>
  </si>
  <si>
    <t>P091</t>
  </si>
  <si>
    <t>2026-04-02</t>
  </si>
  <si>
    <t>P092</t>
  </si>
  <si>
    <t>2026-04-03</t>
  </si>
  <si>
    <t>P093</t>
  </si>
  <si>
    <t>2026-04-04</t>
  </si>
  <si>
    <t>P094</t>
  </si>
  <si>
    <t>2026-04-05</t>
  </si>
  <si>
    <t>P095</t>
  </si>
  <si>
    <t>2026-04-06</t>
  </si>
  <si>
    <t>P096</t>
  </si>
  <si>
    <t>2026-04-07</t>
  </si>
  <si>
    <t>P097</t>
  </si>
  <si>
    <t>2026-04-08</t>
  </si>
  <si>
    <t>P098</t>
  </si>
  <si>
    <t>2026-04-09</t>
  </si>
  <si>
    <t>P099</t>
  </si>
  <si>
    <t>2026-04-10</t>
  </si>
  <si>
    <t>P100</t>
  </si>
  <si>
    <t>2026-04-11</t>
  </si>
  <si>
    <t>Task Completion Rate %</t>
  </si>
  <si>
    <t>Error Rate %</t>
  </si>
  <si>
    <t>Rework Rate %</t>
  </si>
  <si>
    <t>Cost Per Task</t>
  </si>
  <si>
    <t>SLA Achievement %</t>
  </si>
  <si>
    <t>Process Efficiency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</si>
</sst>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1"/>
  <sheetViews>
    <sheetView tabSelected="1" topLeftCell="O1" workbookViewId="0">
      <selection activeCell="Z2" sqref="Z2:Z101"/>
    </sheetView>
  </sheetViews>
  <sheetFormatPr defaultRowHeight="14.5"/>
  <cols>
    <col min="1" max="1" width="9.36328125" bestFit="1" customWidth="1"/>
    <col min="2" max="2" width="21.08984375" bestFit="1" customWidth="1"/>
    <col min="3" max="3" width="15.26953125" bestFit="1" customWidth="1"/>
    <col min="4" max="4" width="13.26953125" bestFit="1" customWidth="1"/>
    <col min="5" max="6" width="10.08984375" bestFit="1" customWidth="1"/>
    <col min="7" max="7" width="15.1796875" bestFit="1" customWidth="1"/>
    <col min="8" max="8" width="17.81640625" bestFit="1" customWidth="1"/>
    <col min="9" max="9" width="17" bestFit="1" customWidth="1"/>
    <col min="10" max="10" width="11.36328125" bestFit="1" customWidth="1"/>
    <col min="11" max="11" width="15" bestFit="1" customWidth="1"/>
    <col min="12" max="12" width="12.54296875" bestFit="1" customWidth="1"/>
    <col min="13" max="13" width="10.54296875" bestFit="1" customWidth="1"/>
    <col min="14" max="14" width="12.54296875" bestFit="1" customWidth="1"/>
    <col min="15" max="15" width="11.1796875" bestFit="1" customWidth="1"/>
    <col min="16" max="16" width="18.90625" bestFit="1" customWidth="1"/>
    <col min="17" max="17" width="9.453125" bestFit="1" customWidth="1"/>
    <col min="18" max="18" width="11.7265625" bestFit="1" customWidth="1"/>
    <col min="19" max="19" width="12.6328125" bestFit="1" customWidth="1"/>
    <col min="20" max="20" width="23.08984375" bestFit="1" customWidth="1"/>
    <col min="21" max="21" width="20.90625" bestFit="1" customWidth="1"/>
    <col min="22" max="22" width="11.1796875" bestFit="1" customWidth="1"/>
    <col min="23" max="23" width="13.26953125" bestFit="1" customWidth="1"/>
    <col min="24" max="24" width="11.81640625" bestFit="1" customWidth="1"/>
    <col min="25" max="25" width="17.08984375" bestFit="1" customWidth="1"/>
    <col min="26" max="26" width="17.4531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</row>
    <row r="2" spans="1:26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7</v>
      </c>
      <c r="H2">
        <v>5</v>
      </c>
      <c r="I2" t="s">
        <v>26</v>
      </c>
      <c r="J2">
        <v>83</v>
      </c>
      <c r="K2">
        <v>67</v>
      </c>
      <c r="L2">
        <v>80.7</v>
      </c>
      <c r="M2">
        <v>1</v>
      </c>
      <c r="N2">
        <v>2</v>
      </c>
      <c r="O2">
        <v>5448</v>
      </c>
      <c r="P2">
        <v>8</v>
      </c>
      <c r="Q2">
        <v>95</v>
      </c>
      <c r="R2">
        <v>91</v>
      </c>
      <c r="S2" t="s">
        <v>27</v>
      </c>
      <c r="T2" t="s">
        <v>28</v>
      </c>
      <c r="U2" s="1">
        <f>K2/J2</f>
        <v>0.80722891566265065</v>
      </c>
      <c r="V2" s="1">
        <f>M2/J2</f>
        <v>1.2048192771084338E-2</v>
      </c>
      <c r="W2" s="2">
        <f>N2/J2</f>
        <v>2.4096385542168676E-2</v>
      </c>
      <c r="X2" s="2">
        <f>O2/J2</f>
        <v>65.638554216867476</v>
      </c>
      <c r="Y2" s="2">
        <f>R2/Q2</f>
        <v>0.95789473684210524</v>
      </c>
      <c r="Z2" s="2">
        <f>H2/G2</f>
        <v>0.7142857142857143</v>
      </c>
    </row>
    <row r="3" spans="1:26">
      <c r="A3" t="s">
        <v>29</v>
      </c>
      <c r="B3" t="s">
        <v>30</v>
      </c>
      <c r="C3" t="s">
        <v>31</v>
      </c>
      <c r="D3" t="s">
        <v>32</v>
      </c>
      <c r="E3" t="s">
        <v>25</v>
      </c>
      <c r="F3" t="s">
        <v>33</v>
      </c>
      <c r="G3">
        <v>9</v>
      </c>
      <c r="H3">
        <v>6</v>
      </c>
      <c r="I3" t="s">
        <v>34</v>
      </c>
      <c r="J3">
        <v>170</v>
      </c>
      <c r="K3">
        <v>158</v>
      </c>
      <c r="L3">
        <v>92.9</v>
      </c>
      <c r="M3">
        <v>2</v>
      </c>
      <c r="N3">
        <v>2</v>
      </c>
      <c r="O3">
        <v>4241</v>
      </c>
      <c r="P3">
        <v>8</v>
      </c>
      <c r="Q3">
        <v>95</v>
      </c>
      <c r="R3">
        <v>89</v>
      </c>
      <c r="S3" t="s">
        <v>27</v>
      </c>
      <c r="T3" t="s">
        <v>35</v>
      </c>
      <c r="U3" s="1">
        <f t="shared" ref="U3:U66" si="0">K3/J3</f>
        <v>0.92941176470588238</v>
      </c>
      <c r="V3" s="1">
        <f t="shared" ref="V3:V66" si="1">M3/J3</f>
        <v>1.1764705882352941E-2</v>
      </c>
      <c r="W3" s="2">
        <f t="shared" ref="W3:W66" si="2">N3/J3</f>
        <v>1.1764705882352941E-2</v>
      </c>
      <c r="X3" s="2">
        <f t="shared" ref="X3:X66" si="3">O3/J3</f>
        <v>24.94705882352941</v>
      </c>
      <c r="Y3" s="2">
        <f t="shared" ref="Y3:Y66" si="4">R3/Q3</f>
        <v>0.93684210526315792</v>
      </c>
      <c r="Z3" s="2">
        <f t="shared" ref="Z3:Z66" si="5">H3/G3</f>
        <v>0.66666666666666663</v>
      </c>
    </row>
    <row r="4" spans="1:26">
      <c r="A4" t="s">
        <v>36</v>
      </c>
      <c r="B4" t="s">
        <v>37</v>
      </c>
      <c r="C4" t="s">
        <v>22</v>
      </c>
      <c r="D4" t="s">
        <v>38</v>
      </c>
      <c r="E4" t="s">
        <v>33</v>
      </c>
      <c r="F4" t="s">
        <v>39</v>
      </c>
      <c r="G4">
        <v>9</v>
      </c>
      <c r="H4">
        <v>8</v>
      </c>
      <c r="I4" t="s">
        <v>40</v>
      </c>
      <c r="J4">
        <v>166</v>
      </c>
      <c r="K4">
        <v>153</v>
      </c>
      <c r="L4">
        <v>92.2</v>
      </c>
      <c r="M4">
        <v>6</v>
      </c>
      <c r="N4">
        <v>4</v>
      </c>
      <c r="O4">
        <v>6790</v>
      </c>
      <c r="P4">
        <v>5</v>
      </c>
      <c r="Q4">
        <v>95</v>
      </c>
      <c r="R4">
        <v>97</v>
      </c>
      <c r="S4" t="s">
        <v>41</v>
      </c>
      <c r="T4" t="s">
        <v>42</v>
      </c>
      <c r="U4" s="1">
        <f t="shared" si="0"/>
        <v>0.92168674698795183</v>
      </c>
      <c r="V4" s="1">
        <f t="shared" si="1"/>
        <v>3.614457831325301E-2</v>
      </c>
      <c r="W4" s="2">
        <f t="shared" si="2"/>
        <v>2.4096385542168676E-2</v>
      </c>
      <c r="X4" s="2">
        <f t="shared" si="3"/>
        <v>40.903614457831324</v>
      </c>
      <c r="Y4" s="2">
        <f t="shared" si="4"/>
        <v>1.0210526315789474</v>
      </c>
      <c r="Z4" s="2">
        <f t="shared" si="5"/>
        <v>0.88888888888888884</v>
      </c>
    </row>
    <row r="5" spans="1:26">
      <c r="A5" t="s">
        <v>43</v>
      </c>
      <c r="B5" t="s">
        <v>44</v>
      </c>
      <c r="C5" t="s">
        <v>45</v>
      </c>
      <c r="D5" t="s">
        <v>46</v>
      </c>
      <c r="E5" t="s">
        <v>39</v>
      </c>
      <c r="F5" t="s">
        <v>47</v>
      </c>
      <c r="G5">
        <v>9</v>
      </c>
      <c r="H5">
        <v>6</v>
      </c>
      <c r="I5" t="s">
        <v>48</v>
      </c>
      <c r="J5">
        <v>110</v>
      </c>
      <c r="K5">
        <v>107</v>
      </c>
      <c r="L5">
        <v>97.3</v>
      </c>
      <c r="M5">
        <v>2</v>
      </c>
      <c r="N5">
        <v>2</v>
      </c>
      <c r="O5">
        <v>4088</v>
      </c>
      <c r="P5">
        <v>6</v>
      </c>
      <c r="Q5">
        <v>95</v>
      </c>
      <c r="R5">
        <v>96</v>
      </c>
      <c r="S5" t="s">
        <v>41</v>
      </c>
      <c r="T5" t="s">
        <v>49</v>
      </c>
      <c r="U5" s="1">
        <f t="shared" si="0"/>
        <v>0.97272727272727277</v>
      </c>
      <c r="V5" s="1">
        <f t="shared" si="1"/>
        <v>1.8181818181818181E-2</v>
      </c>
      <c r="W5" s="2">
        <f t="shared" si="2"/>
        <v>1.8181818181818181E-2</v>
      </c>
      <c r="X5" s="2">
        <f t="shared" si="3"/>
        <v>37.163636363636364</v>
      </c>
      <c r="Y5" s="2">
        <f t="shared" si="4"/>
        <v>1.0105263157894737</v>
      </c>
      <c r="Z5" s="2">
        <f t="shared" si="5"/>
        <v>0.66666666666666663</v>
      </c>
    </row>
    <row r="6" spans="1:26">
      <c r="A6" t="s">
        <v>50</v>
      </c>
      <c r="B6" t="s">
        <v>51</v>
      </c>
      <c r="C6" t="s">
        <v>52</v>
      </c>
      <c r="D6" t="s">
        <v>53</v>
      </c>
      <c r="E6" t="s">
        <v>47</v>
      </c>
      <c r="F6" t="s">
        <v>54</v>
      </c>
      <c r="G6">
        <v>12</v>
      </c>
      <c r="H6">
        <v>7</v>
      </c>
      <c r="I6" t="s">
        <v>55</v>
      </c>
      <c r="J6">
        <v>85</v>
      </c>
      <c r="K6">
        <v>79</v>
      </c>
      <c r="L6">
        <v>92.9</v>
      </c>
      <c r="M6">
        <v>6</v>
      </c>
      <c r="N6">
        <v>4</v>
      </c>
      <c r="O6">
        <v>5804</v>
      </c>
      <c r="P6">
        <v>2</v>
      </c>
      <c r="Q6">
        <v>95</v>
      </c>
      <c r="R6">
        <v>99</v>
      </c>
      <c r="S6" t="s">
        <v>41</v>
      </c>
      <c r="T6" t="s">
        <v>56</v>
      </c>
      <c r="U6" s="1">
        <f t="shared" si="0"/>
        <v>0.92941176470588238</v>
      </c>
      <c r="V6" s="1">
        <f t="shared" si="1"/>
        <v>7.0588235294117646E-2</v>
      </c>
      <c r="W6" s="2">
        <f t="shared" si="2"/>
        <v>4.7058823529411764E-2</v>
      </c>
      <c r="X6" s="2">
        <f t="shared" si="3"/>
        <v>68.28235294117647</v>
      </c>
      <c r="Y6" s="2">
        <f t="shared" si="4"/>
        <v>1.0421052631578946</v>
      </c>
      <c r="Z6" s="2">
        <f t="shared" si="5"/>
        <v>0.58333333333333337</v>
      </c>
    </row>
    <row r="7" spans="1:26">
      <c r="A7" t="s">
        <v>57</v>
      </c>
      <c r="B7" t="s">
        <v>58</v>
      </c>
      <c r="C7" t="s">
        <v>59</v>
      </c>
      <c r="D7" t="s">
        <v>60</v>
      </c>
      <c r="E7" t="s">
        <v>54</v>
      </c>
      <c r="F7" t="s">
        <v>61</v>
      </c>
      <c r="G7">
        <v>6</v>
      </c>
      <c r="H7">
        <v>6</v>
      </c>
      <c r="I7" t="s">
        <v>62</v>
      </c>
      <c r="J7">
        <v>160</v>
      </c>
      <c r="K7">
        <v>150</v>
      </c>
      <c r="L7">
        <v>93.8</v>
      </c>
      <c r="M7">
        <v>4</v>
      </c>
      <c r="N7">
        <v>4</v>
      </c>
      <c r="O7">
        <v>5015</v>
      </c>
      <c r="P7">
        <v>6</v>
      </c>
      <c r="Q7">
        <v>95</v>
      </c>
      <c r="R7">
        <v>98</v>
      </c>
      <c r="S7" t="s">
        <v>41</v>
      </c>
      <c r="T7" t="s">
        <v>63</v>
      </c>
      <c r="U7" s="1">
        <f t="shared" si="0"/>
        <v>0.9375</v>
      </c>
      <c r="V7" s="1">
        <f t="shared" si="1"/>
        <v>2.5000000000000001E-2</v>
      </c>
      <c r="W7" s="2">
        <f t="shared" si="2"/>
        <v>2.5000000000000001E-2</v>
      </c>
      <c r="X7" s="2">
        <f t="shared" si="3"/>
        <v>31.34375</v>
      </c>
      <c r="Y7" s="2">
        <f t="shared" si="4"/>
        <v>1.0315789473684212</v>
      </c>
      <c r="Z7" s="2">
        <f t="shared" si="5"/>
        <v>1</v>
      </c>
    </row>
    <row r="8" spans="1:26">
      <c r="A8" t="s">
        <v>64</v>
      </c>
      <c r="B8" t="s">
        <v>65</v>
      </c>
      <c r="C8" t="s">
        <v>45</v>
      </c>
      <c r="D8" t="s">
        <v>23</v>
      </c>
      <c r="E8" t="s">
        <v>61</v>
      </c>
      <c r="F8" t="s">
        <v>66</v>
      </c>
      <c r="G8">
        <v>9</v>
      </c>
      <c r="H8">
        <v>7</v>
      </c>
      <c r="I8" t="s">
        <v>67</v>
      </c>
      <c r="J8">
        <v>140</v>
      </c>
      <c r="K8">
        <v>127</v>
      </c>
      <c r="L8">
        <v>90.7</v>
      </c>
      <c r="M8">
        <v>4</v>
      </c>
      <c r="N8">
        <v>2</v>
      </c>
      <c r="O8">
        <v>4524</v>
      </c>
      <c r="P8">
        <v>7</v>
      </c>
      <c r="Q8">
        <v>95</v>
      </c>
      <c r="R8">
        <v>95</v>
      </c>
      <c r="S8" t="s">
        <v>41</v>
      </c>
      <c r="T8" t="s">
        <v>28</v>
      </c>
      <c r="U8" s="1">
        <f t="shared" si="0"/>
        <v>0.90714285714285714</v>
      </c>
      <c r="V8" s="1">
        <f t="shared" si="1"/>
        <v>2.8571428571428571E-2</v>
      </c>
      <c r="W8" s="2">
        <f t="shared" si="2"/>
        <v>1.4285714285714285E-2</v>
      </c>
      <c r="X8" s="2">
        <f t="shared" si="3"/>
        <v>32.314285714285717</v>
      </c>
      <c r="Y8" s="2">
        <f t="shared" si="4"/>
        <v>1</v>
      </c>
      <c r="Z8" s="2">
        <f t="shared" si="5"/>
        <v>0.77777777777777779</v>
      </c>
    </row>
    <row r="9" spans="1:26">
      <c r="A9" t="s">
        <v>68</v>
      </c>
      <c r="B9" t="s">
        <v>69</v>
      </c>
      <c r="C9" t="s">
        <v>70</v>
      </c>
      <c r="D9" t="s">
        <v>32</v>
      </c>
      <c r="E9" t="s">
        <v>66</v>
      </c>
      <c r="F9" t="s">
        <v>71</v>
      </c>
      <c r="G9">
        <v>10</v>
      </c>
      <c r="H9">
        <v>7</v>
      </c>
      <c r="I9" t="s">
        <v>72</v>
      </c>
      <c r="J9">
        <v>92</v>
      </c>
      <c r="K9">
        <v>84</v>
      </c>
      <c r="L9">
        <v>91.3</v>
      </c>
      <c r="M9">
        <v>8</v>
      </c>
      <c r="N9">
        <v>4</v>
      </c>
      <c r="O9">
        <v>6830</v>
      </c>
      <c r="P9">
        <v>3</v>
      </c>
      <c r="Q9">
        <v>95</v>
      </c>
      <c r="R9">
        <v>93</v>
      </c>
      <c r="S9" t="s">
        <v>41</v>
      </c>
      <c r="T9" t="s">
        <v>35</v>
      </c>
      <c r="U9" s="1">
        <f t="shared" si="0"/>
        <v>0.91304347826086951</v>
      </c>
      <c r="V9" s="1">
        <f t="shared" si="1"/>
        <v>8.6956521739130432E-2</v>
      </c>
      <c r="W9" s="2">
        <f t="shared" si="2"/>
        <v>4.3478260869565216E-2</v>
      </c>
      <c r="X9" s="2">
        <f t="shared" si="3"/>
        <v>74.239130434782609</v>
      </c>
      <c r="Y9" s="2">
        <f t="shared" si="4"/>
        <v>0.97894736842105268</v>
      </c>
      <c r="Z9" s="2">
        <f t="shared" si="5"/>
        <v>0.7</v>
      </c>
    </row>
    <row r="10" spans="1:26">
      <c r="A10" t="s">
        <v>73</v>
      </c>
      <c r="B10" t="s">
        <v>74</v>
      </c>
      <c r="C10" t="s">
        <v>75</v>
      </c>
      <c r="D10" t="s">
        <v>38</v>
      </c>
      <c r="E10" t="s">
        <v>71</v>
      </c>
      <c r="F10" t="s">
        <v>76</v>
      </c>
      <c r="G10">
        <v>4</v>
      </c>
      <c r="H10">
        <v>4</v>
      </c>
      <c r="I10" t="s">
        <v>77</v>
      </c>
      <c r="J10">
        <v>75</v>
      </c>
      <c r="K10">
        <v>63</v>
      </c>
      <c r="L10">
        <v>84</v>
      </c>
      <c r="M10">
        <v>6</v>
      </c>
      <c r="N10">
        <v>5</v>
      </c>
      <c r="O10">
        <v>5747</v>
      </c>
      <c r="P10">
        <v>6</v>
      </c>
      <c r="Q10">
        <v>95</v>
      </c>
      <c r="R10">
        <v>88</v>
      </c>
      <c r="S10" t="s">
        <v>27</v>
      </c>
      <c r="T10" t="s">
        <v>42</v>
      </c>
      <c r="U10" s="1">
        <f t="shared" si="0"/>
        <v>0.84</v>
      </c>
      <c r="V10" s="1">
        <f t="shared" si="1"/>
        <v>0.08</v>
      </c>
      <c r="W10" s="2">
        <f t="shared" si="2"/>
        <v>6.6666666666666666E-2</v>
      </c>
      <c r="X10" s="2">
        <f t="shared" si="3"/>
        <v>76.626666666666665</v>
      </c>
      <c r="Y10" s="2">
        <f t="shared" si="4"/>
        <v>0.9263157894736842</v>
      </c>
      <c r="Z10" s="2">
        <f t="shared" si="5"/>
        <v>1</v>
      </c>
    </row>
    <row r="11" spans="1:26">
      <c r="A11" t="s">
        <v>78</v>
      </c>
      <c r="B11" t="s">
        <v>79</v>
      </c>
      <c r="C11" t="s">
        <v>52</v>
      </c>
      <c r="D11" t="s">
        <v>46</v>
      </c>
      <c r="E11" t="s">
        <v>76</v>
      </c>
      <c r="F11" t="s">
        <v>80</v>
      </c>
      <c r="G11">
        <v>7</v>
      </c>
      <c r="H11">
        <v>6</v>
      </c>
      <c r="I11" t="s">
        <v>81</v>
      </c>
      <c r="J11">
        <v>91</v>
      </c>
      <c r="K11">
        <v>85</v>
      </c>
      <c r="L11">
        <v>93.4</v>
      </c>
      <c r="M11">
        <v>3</v>
      </c>
      <c r="N11">
        <v>5</v>
      </c>
      <c r="O11">
        <v>7442</v>
      </c>
      <c r="P11">
        <v>8</v>
      </c>
      <c r="Q11">
        <v>95</v>
      </c>
      <c r="R11">
        <v>93</v>
      </c>
      <c r="S11" t="s">
        <v>41</v>
      </c>
      <c r="T11" t="s">
        <v>49</v>
      </c>
      <c r="U11" s="1">
        <f t="shared" si="0"/>
        <v>0.93406593406593408</v>
      </c>
      <c r="V11" s="1">
        <f t="shared" si="1"/>
        <v>3.2967032967032968E-2</v>
      </c>
      <c r="W11" s="2">
        <f t="shared" si="2"/>
        <v>5.4945054945054944E-2</v>
      </c>
      <c r="X11" s="2">
        <f t="shared" si="3"/>
        <v>81.780219780219781</v>
      </c>
      <c r="Y11" s="2">
        <f t="shared" si="4"/>
        <v>0.97894736842105268</v>
      </c>
      <c r="Z11" s="2">
        <f t="shared" si="5"/>
        <v>0.8571428571428571</v>
      </c>
    </row>
    <row r="12" spans="1:26">
      <c r="A12" t="s">
        <v>82</v>
      </c>
      <c r="B12" t="s">
        <v>21</v>
      </c>
      <c r="C12" t="s">
        <v>22</v>
      </c>
      <c r="D12" t="s">
        <v>53</v>
      </c>
      <c r="E12" t="s">
        <v>80</v>
      </c>
      <c r="F12" t="s">
        <v>83</v>
      </c>
      <c r="G12">
        <v>6</v>
      </c>
      <c r="H12">
        <v>4</v>
      </c>
      <c r="I12" t="s">
        <v>26</v>
      </c>
      <c r="J12">
        <v>155</v>
      </c>
      <c r="K12">
        <v>150</v>
      </c>
      <c r="L12">
        <v>96.8</v>
      </c>
      <c r="M12">
        <v>6</v>
      </c>
      <c r="N12">
        <v>1</v>
      </c>
      <c r="O12">
        <v>6766</v>
      </c>
      <c r="P12">
        <v>1</v>
      </c>
      <c r="Q12">
        <v>95</v>
      </c>
      <c r="R12">
        <v>84</v>
      </c>
      <c r="S12" t="s">
        <v>27</v>
      </c>
      <c r="T12" t="s">
        <v>56</v>
      </c>
      <c r="U12" s="1">
        <f t="shared" si="0"/>
        <v>0.967741935483871</v>
      </c>
      <c r="V12" s="1">
        <f t="shared" si="1"/>
        <v>3.870967741935484E-2</v>
      </c>
      <c r="W12" s="2">
        <f t="shared" si="2"/>
        <v>6.4516129032258064E-3</v>
      </c>
      <c r="X12" s="2">
        <f t="shared" si="3"/>
        <v>43.651612903225804</v>
      </c>
      <c r="Y12" s="2">
        <f t="shared" si="4"/>
        <v>0.88421052631578945</v>
      </c>
      <c r="Z12" s="2">
        <f t="shared" si="5"/>
        <v>0.66666666666666663</v>
      </c>
    </row>
    <row r="13" spans="1:26">
      <c r="A13" t="s">
        <v>84</v>
      </c>
      <c r="B13" t="s">
        <v>30</v>
      </c>
      <c r="C13" t="s">
        <v>31</v>
      </c>
      <c r="D13" t="s">
        <v>60</v>
      </c>
      <c r="E13" t="s">
        <v>83</v>
      </c>
      <c r="F13" t="s">
        <v>85</v>
      </c>
      <c r="G13">
        <v>10</v>
      </c>
      <c r="H13">
        <v>6</v>
      </c>
      <c r="I13" t="s">
        <v>34</v>
      </c>
      <c r="J13">
        <v>141</v>
      </c>
      <c r="K13">
        <v>138</v>
      </c>
      <c r="L13">
        <v>97.9</v>
      </c>
      <c r="M13">
        <v>8</v>
      </c>
      <c r="N13">
        <v>4</v>
      </c>
      <c r="O13">
        <v>6311</v>
      </c>
      <c r="P13">
        <v>1</v>
      </c>
      <c r="Q13">
        <v>95</v>
      </c>
      <c r="R13">
        <v>89</v>
      </c>
      <c r="S13" t="s">
        <v>27</v>
      </c>
      <c r="T13" t="s">
        <v>63</v>
      </c>
      <c r="U13" s="1">
        <f t="shared" si="0"/>
        <v>0.97872340425531912</v>
      </c>
      <c r="V13" s="1">
        <f t="shared" si="1"/>
        <v>5.6737588652482268E-2</v>
      </c>
      <c r="W13" s="2">
        <f t="shared" si="2"/>
        <v>2.8368794326241134E-2</v>
      </c>
      <c r="X13" s="2">
        <f t="shared" si="3"/>
        <v>44.758865248226954</v>
      </c>
      <c r="Y13" s="2">
        <f t="shared" si="4"/>
        <v>0.93684210526315792</v>
      </c>
      <c r="Z13" s="2">
        <f t="shared" si="5"/>
        <v>0.6</v>
      </c>
    </row>
    <row r="14" spans="1:26">
      <c r="A14" t="s">
        <v>86</v>
      </c>
      <c r="B14" t="s">
        <v>37</v>
      </c>
      <c r="C14" t="s">
        <v>22</v>
      </c>
      <c r="D14" t="s">
        <v>23</v>
      </c>
      <c r="E14" t="s">
        <v>85</v>
      </c>
      <c r="F14" t="s">
        <v>87</v>
      </c>
      <c r="G14">
        <v>6</v>
      </c>
      <c r="H14">
        <v>6</v>
      </c>
      <c r="I14" t="s">
        <v>40</v>
      </c>
      <c r="J14">
        <v>89</v>
      </c>
      <c r="K14">
        <v>82</v>
      </c>
      <c r="L14">
        <v>92.1</v>
      </c>
      <c r="M14">
        <v>1</v>
      </c>
      <c r="N14">
        <v>1</v>
      </c>
      <c r="O14">
        <v>6026</v>
      </c>
      <c r="P14">
        <v>1</v>
      </c>
      <c r="Q14">
        <v>95</v>
      </c>
      <c r="R14">
        <v>91</v>
      </c>
      <c r="S14" t="s">
        <v>27</v>
      </c>
      <c r="T14" t="s">
        <v>28</v>
      </c>
      <c r="U14" s="1">
        <f t="shared" si="0"/>
        <v>0.9213483146067416</v>
      </c>
      <c r="V14" s="1">
        <f t="shared" si="1"/>
        <v>1.1235955056179775E-2</v>
      </c>
      <c r="W14" s="2">
        <f t="shared" si="2"/>
        <v>1.1235955056179775E-2</v>
      </c>
      <c r="X14" s="2">
        <f t="shared" si="3"/>
        <v>67.707865168539328</v>
      </c>
      <c r="Y14" s="2">
        <f t="shared" si="4"/>
        <v>0.95789473684210524</v>
      </c>
      <c r="Z14" s="2">
        <f t="shared" si="5"/>
        <v>1</v>
      </c>
    </row>
    <row r="15" spans="1:26">
      <c r="A15" t="s">
        <v>88</v>
      </c>
      <c r="B15" t="s">
        <v>44</v>
      </c>
      <c r="C15" t="s">
        <v>45</v>
      </c>
      <c r="D15" t="s">
        <v>32</v>
      </c>
      <c r="E15" t="s">
        <v>87</v>
      </c>
      <c r="F15" t="s">
        <v>89</v>
      </c>
      <c r="G15">
        <v>11</v>
      </c>
      <c r="H15">
        <v>8</v>
      </c>
      <c r="I15" t="s">
        <v>48</v>
      </c>
      <c r="J15">
        <v>78</v>
      </c>
      <c r="K15">
        <v>63</v>
      </c>
      <c r="L15">
        <v>80.8</v>
      </c>
      <c r="M15">
        <v>3</v>
      </c>
      <c r="N15">
        <v>5</v>
      </c>
      <c r="O15">
        <v>4306</v>
      </c>
      <c r="P15">
        <v>4</v>
      </c>
      <c r="Q15">
        <v>95</v>
      </c>
      <c r="R15">
        <v>86</v>
      </c>
      <c r="S15" t="s">
        <v>27</v>
      </c>
      <c r="T15" t="s">
        <v>35</v>
      </c>
      <c r="U15" s="1">
        <f t="shared" si="0"/>
        <v>0.80769230769230771</v>
      </c>
      <c r="V15" s="1">
        <f t="shared" si="1"/>
        <v>3.8461538461538464E-2</v>
      </c>
      <c r="W15" s="2">
        <f t="shared" si="2"/>
        <v>6.4102564102564097E-2</v>
      </c>
      <c r="X15" s="2">
        <f t="shared" si="3"/>
        <v>55.205128205128204</v>
      </c>
      <c r="Y15" s="2">
        <f t="shared" si="4"/>
        <v>0.90526315789473688</v>
      </c>
      <c r="Z15" s="2">
        <f t="shared" si="5"/>
        <v>0.72727272727272729</v>
      </c>
    </row>
    <row r="16" spans="1:26">
      <c r="A16" t="s">
        <v>90</v>
      </c>
      <c r="B16" t="s">
        <v>51</v>
      </c>
      <c r="C16" t="s">
        <v>52</v>
      </c>
      <c r="D16" t="s">
        <v>38</v>
      </c>
      <c r="E16" t="s">
        <v>89</v>
      </c>
      <c r="F16" t="s">
        <v>91</v>
      </c>
      <c r="G16">
        <v>12</v>
      </c>
      <c r="H16">
        <v>8</v>
      </c>
      <c r="I16" t="s">
        <v>55</v>
      </c>
      <c r="J16">
        <v>157</v>
      </c>
      <c r="K16">
        <v>153</v>
      </c>
      <c r="L16">
        <v>97.5</v>
      </c>
      <c r="M16">
        <v>6</v>
      </c>
      <c r="N16">
        <v>2</v>
      </c>
      <c r="O16">
        <v>6581</v>
      </c>
      <c r="P16">
        <v>8</v>
      </c>
      <c r="Q16">
        <v>95</v>
      </c>
      <c r="R16">
        <v>84</v>
      </c>
      <c r="S16" t="s">
        <v>27</v>
      </c>
      <c r="T16" t="s">
        <v>42</v>
      </c>
      <c r="U16" s="1">
        <f t="shared" si="0"/>
        <v>0.97452229299363058</v>
      </c>
      <c r="V16" s="1">
        <f t="shared" si="1"/>
        <v>3.8216560509554139E-2</v>
      </c>
      <c r="W16" s="2">
        <f t="shared" si="2"/>
        <v>1.2738853503184714E-2</v>
      </c>
      <c r="X16" s="2">
        <f t="shared" si="3"/>
        <v>41.917197452229303</v>
      </c>
      <c r="Y16" s="2">
        <f t="shared" si="4"/>
        <v>0.88421052631578945</v>
      </c>
      <c r="Z16" s="2">
        <f t="shared" si="5"/>
        <v>0.66666666666666663</v>
      </c>
    </row>
    <row r="17" spans="1:26">
      <c r="A17" t="s">
        <v>92</v>
      </c>
      <c r="B17" t="s">
        <v>58</v>
      </c>
      <c r="C17" t="s">
        <v>59</v>
      </c>
      <c r="D17" t="s">
        <v>46</v>
      </c>
      <c r="E17" t="s">
        <v>91</v>
      </c>
      <c r="F17" t="s">
        <v>93</v>
      </c>
      <c r="G17">
        <v>8</v>
      </c>
      <c r="H17">
        <v>5</v>
      </c>
      <c r="I17" t="s">
        <v>62</v>
      </c>
      <c r="J17">
        <v>151</v>
      </c>
      <c r="K17">
        <v>140</v>
      </c>
      <c r="L17">
        <v>92.7</v>
      </c>
      <c r="M17">
        <v>7</v>
      </c>
      <c r="N17">
        <v>4</v>
      </c>
      <c r="O17">
        <v>7231</v>
      </c>
      <c r="P17">
        <v>6</v>
      </c>
      <c r="Q17">
        <v>95</v>
      </c>
      <c r="R17">
        <v>92</v>
      </c>
      <c r="S17" t="s">
        <v>41</v>
      </c>
      <c r="T17" t="s">
        <v>49</v>
      </c>
      <c r="U17" s="1">
        <f t="shared" si="0"/>
        <v>0.92715231788079466</v>
      </c>
      <c r="V17" s="1">
        <f t="shared" si="1"/>
        <v>4.6357615894039736E-2</v>
      </c>
      <c r="W17" s="2">
        <f t="shared" si="2"/>
        <v>2.6490066225165563E-2</v>
      </c>
      <c r="X17" s="2">
        <f t="shared" si="3"/>
        <v>47.88741721854305</v>
      </c>
      <c r="Y17" s="2">
        <f t="shared" si="4"/>
        <v>0.96842105263157896</v>
      </c>
      <c r="Z17" s="2">
        <f t="shared" si="5"/>
        <v>0.625</v>
      </c>
    </row>
    <row r="18" spans="1:26">
      <c r="A18" t="s">
        <v>94</v>
      </c>
      <c r="B18" t="s">
        <v>65</v>
      </c>
      <c r="C18" t="s">
        <v>45</v>
      </c>
      <c r="D18" t="s">
        <v>53</v>
      </c>
      <c r="E18" t="s">
        <v>93</v>
      </c>
      <c r="F18" t="s">
        <v>95</v>
      </c>
      <c r="G18">
        <v>6</v>
      </c>
      <c r="H18">
        <v>5</v>
      </c>
      <c r="I18" t="s">
        <v>67</v>
      </c>
      <c r="J18">
        <v>135</v>
      </c>
      <c r="K18">
        <v>126</v>
      </c>
      <c r="L18">
        <v>93.3</v>
      </c>
      <c r="M18">
        <v>1</v>
      </c>
      <c r="N18">
        <v>1</v>
      </c>
      <c r="O18">
        <v>5824</v>
      </c>
      <c r="P18">
        <v>5</v>
      </c>
      <c r="Q18">
        <v>95</v>
      </c>
      <c r="R18">
        <v>99</v>
      </c>
      <c r="S18" t="s">
        <v>41</v>
      </c>
      <c r="T18" t="s">
        <v>56</v>
      </c>
      <c r="U18" s="1">
        <f t="shared" si="0"/>
        <v>0.93333333333333335</v>
      </c>
      <c r="V18" s="1">
        <f t="shared" si="1"/>
        <v>7.4074074074074077E-3</v>
      </c>
      <c r="W18" s="2">
        <f t="shared" si="2"/>
        <v>7.4074074074074077E-3</v>
      </c>
      <c r="X18" s="2">
        <f t="shared" si="3"/>
        <v>43.140740740740739</v>
      </c>
      <c r="Y18" s="2">
        <f t="shared" si="4"/>
        <v>1.0421052631578946</v>
      </c>
      <c r="Z18" s="2">
        <f t="shared" si="5"/>
        <v>0.83333333333333337</v>
      </c>
    </row>
    <row r="19" spans="1:26">
      <c r="A19" t="s">
        <v>96</v>
      </c>
      <c r="B19" t="s">
        <v>69</v>
      </c>
      <c r="C19" t="s">
        <v>70</v>
      </c>
      <c r="D19" t="s">
        <v>60</v>
      </c>
      <c r="E19" t="s">
        <v>95</v>
      </c>
      <c r="F19" t="s">
        <v>97</v>
      </c>
      <c r="G19">
        <v>7</v>
      </c>
      <c r="H19">
        <v>7</v>
      </c>
      <c r="I19" t="s">
        <v>72</v>
      </c>
      <c r="J19">
        <v>105</v>
      </c>
      <c r="K19">
        <v>92</v>
      </c>
      <c r="L19">
        <v>87.6</v>
      </c>
      <c r="M19">
        <v>2</v>
      </c>
      <c r="N19">
        <v>3</v>
      </c>
      <c r="O19">
        <v>6577</v>
      </c>
      <c r="P19">
        <v>4</v>
      </c>
      <c r="Q19">
        <v>95</v>
      </c>
      <c r="R19">
        <v>92</v>
      </c>
      <c r="S19" t="s">
        <v>41</v>
      </c>
      <c r="T19" t="s">
        <v>63</v>
      </c>
      <c r="U19" s="1">
        <f t="shared" si="0"/>
        <v>0.87619047619047619</v>
      </c>
      <c r="V19" s="1">
        <f t="shared" si="1"/>
        <v>1.9047619047619049E-2</v>
      </c>
      <c r="W19" s="2">
        <f t="shared" si="2"/>
        <v>2.8571428571428571E-2</v>
      </c>
      <c r="X19" s="2">
        <f t="shared" si="3"/>
        <v>62.638095238095239</v>
      </c>
      <c r="Y19" s="2">
        <f t="shared" si="4"/>
        <v>0.96842105263157896</v>
      </c>
      <c r="Z19" s="2">
        <f t="shared" si="5"/>
        <v>1</v>
      </c>
    </row>
    <row r="20" spans="1:26">
      <c r="A20" t="s">
        <v>98</v>
      </c>
      <c r="B20" t="s">
        <v>74</v>
      </c>
      <c r="C20" t="s">
        <v>75</v>
      </c>
      <c r="D20" t="s">
        <v>23</v>
      </c>
      <c r="E20" t="s">
        <v>97</v>
      </c>
      <c r="F20" t="s">
        <v>99</v>
      </c>
      <c r="G20">
        <v>7</v>
      </c>
      <c r="H20">
        <v>6</v>
      </c>
      <c r="I20" t="s">
        <v>77</v>
      </c>
      <c r="J20">
        <v>82</v>
      </c>
      <c r="K20">
        <v>66</v>
      </c>
      <c r="L20">
        <v>80.5</v>
      </c>
      <c r="M20">
        <v>4</v>
      </c>
      <c r="N20">
        <v>2</v>
      </c>
      <c r="O20">
        <v>6398</v>
      </c>
      <c r="P20">
        <v>3</v>
      </c>
      <c r="Q20">
        <v>95</v>
      </c>
      <c r="R20">
        <v>95</v>
      </c>
      <c r="S20" t="s">
        <v>41</v>
      </c>
      <c r="T20" t="s">
        <v>28</v>
      </c>
      <c r="U20" s="1">
        <f t="shared" si="0"/>
        <v>0.80487804878048785</v>
      </c>
      <c r="V20" s="1">
        <f t="shared" si="1"/>
        <v>4.878048780487805E-2</v>
      </c>
      <c r="W20" s="2">
        <f t="shared" si="2"/>
        <v>2.4390243902439025E-2</v>
      </c>
      <c r="X20" s="2">
        <f t="shared" si="3"/>
        <v>78.024390243902445</v>
      </c>
      <c r="Y20" s="2">
        <f t="shared" si="4"/>
        <v>1</v>
      </c>
      <c r="Z20" s="2">
        <f t="shared" si="5"/>
        <v>0.8571428571428571</v>
      </c>
    </row>
    <row r="21" spans="1:26">
      <c r="A21" t="s">
        <v>100</v>
      </c>
      <c r="B21" t="s">
        <v>79</v>
      </c>
      <c r="C21" t="s">
        <v>52</v>
      </c>
      <c r="D21" t="s">
        <v>32</v>
      </c>
      <c r="E21" t="s">
        <v>99</v>
      </c>
      <c r="F21" t="s">
        <v>101</v>
      </c>
      <c r="G21">
        <v>8</v>
      </c>
      <c r="H21">
        <v>7</v>
      </c>
      <c r="I21" t="s">
        <v>81</v>
      </c>
      <c r="J21">
        <v>91</v>
      </c>
      <c r="K21">
        <v>82</v>
      </c>
      <c r="L21">
        <v>90.1</v>
      </c>
      <c r="M21">
        <v>1</v>
      </c>
      <c r="N21">
        <v>4</v>
      </c>
      <c r="O21">
        <v>6753</v>
      </c>
      <c r="P21">
        <v>1</v>
      </c>
      <c r="Q21">
        <v>95</v>
      </c>
      <c r="R21">
        <v>94</v>
      </c>
      <c r="S21" t="s">
        <v>41</v>
      </c>
      <c r="T21" t="s">
        <v>35</v>
      </c>
      <c r="U21" s="1">
        <f t="shared" si="0"/>
        <v>0.90109890109890112</v>
      </c>
      <c r="V21" s="1">
        <f t="shared" si="1"/>
        <v>1.098901098901099E-2</v>
      </c>
      <c r="W21" s="2">
        <f t="shared" si="2"/>
        <v>4.3956043956043959E-2</v>
      </c>
      <c r="X21" s="2">
        <f t="shared" si="3"/>
        <v>74.208791208791212</v>
      </c>
      <c r="Y21" s="2">
        <f t="shared" si="4"/>
        <v>0.98947368421052628</v>
      </c>
      <c r="Z21" s="2">
        <f t="shared" si="5"/>
        <v>0.875</v>
      </c>
    </row>
    <row r="22" spans="1:26">
      <c r="A22" t="s">
        <v>102</v>
      </c>
      <c r="B22" t="s">
        <v>21</v>
      </c>
      <c r="C22" t="s">
        <v>22</v>
      </c>
      <c r="D22" t="s">
        <v>38</v>
      </c>
      <c r="E22" t="s">
        <v>101</v>
      </c>
      <c r="F22" t="s">
        <v>103</v>
      </c>
      <c r="G22">
        <v>13</v>
      </c>
      <c r="H22">
        <v>8</v>
      </c>
      <c r="I22" t="s">
        <v>26</v>
      </c>
      <c r="J22">
        <v>120</v>
      </c>
      <c r="K22">
        <v>105</v>
      </c>
      <c r="L22">
        <v>87.5</v>
      </c>
      <c r="M22">
        <v>5</v>
      </c>
      <c r="N22">
        <v>5</v>
      </c>
      <c r="O22">
        <v>5282</v>
      </c>
      <c r="P22">
        <v>6</v>
      </c>
      <c r="Q22">
        <v>95</v>
      </c>
      <c r="R22">
        <v>88</v>
      </c>
      <c r="S22" t="s">
        <v>27</v>
      </c>
      <c r="T22" t="s">
        <v>42</v>
      </c>
      <c r="U22" s="1">
        <f t="shared" si="0"/>
        <v>0.875</v>
      </c>
      <c r="V22" s="1">
        <f t="shared" si="1"/>
        <v>4.1666666666666664E-2</v>
      </c>
      <c r="W22" s="2">
        <f t="shared" si="2"/>
        <v>4.1666666666666664E-2</v>
      </c>
      <c r="X22" s="2">
        <f t="shared" si="3"/>
        <v>44.016666666666666</v>
      </c>
      <c r="Y22" s="2">
        <f t="shared" si="4"/>
        <v>0.9263157894736842</v>
      </c>
      <c r="Z22" s="2">
        <f t="shared" si="5"/>
        <v>0.61538461538461542</v>
      </c>
    </row>
    <row r="23" spans="1:26">
      <c r="A23" t="s">
        <v>104</v>
      </c>
      <c r="B23" t="s">
        <v>30</v>
      </c>
      <c r="C23" t="s">
        <v>31</v>
      </c>
      <c r="D23" t="s">
        <v>46</v>
      </c>
      <c r="E23" t="s">
        <v>103</v>
      </c>
      <c r="F23" t="s">
        <v>105</v>
      </c>
      <c r="G23">
        <v>12</v>
      </c>
      <c r="H23">
        <v>8</v>
      </c>
      <c r="I23" t="s">
        <v>34</v>
      </c>
      <c r="J23">
        <v>122</v>
      </c>
      <c r="K23">
        <v>104</v>
      </c>
      <c r="L23">
        <v>85.2</v>
      </c>
      <c r="M23">
        <v>1</v>
      </c>
      <c r="N23">
        <v>2</v>
      </c>
      <c r="O23">
        <v>6231</v>
      </c>
      <c r="P23">
        <v>6</v>
      </c>
      <c r="Q23">
        <v>95</v>
      </c>
      <c r="R23">
        <v>97</v>
      </c>
      <c r="S23" t="s">
        <v>41</v>
      </c>
      <c r="T23" t="s">
        <v>49</v>
      </c>
      <c r="U23" s="1">
        <f t="shared" si="0"/>
        <v>0.85245901639344257</v>
      </c>
      <c r="V23" s="1">
        <f t="shared" si="1"/>
        <v>8.1967213114754103E-3</v>
      </c>
      <c r="W23" s="2">
        <f t="shared" si="2"/>
        <v>1.6393442622950821E-2</v>
      </c>
      <c r="X23" s="2">
        <f t="shared" si="3"/>
        <v>51.07377049180328</v>
      </c>
      <c r="Y23" s="2">
        <f t="shared" si="4"/>
        <v>1.0210526315789474</v>
      </c>
      <c r="Z23" s="2">
        <f t="shared" si="5"/>
        <v>0.66666666666666663</v>
      </c>
    </row>
    <row r="24" spans="1:26">
      <c r="A24" t="s">
        <v>106</v>
      </c>
      <c r="B24" t="s">
        <v>37</v>
      </c>
      <c r="C24" t="s">
        <v>22</v>
      </c>
      <c r="D24" t="s">
        <v>53</v>
      </c>
      <c r="E24" t="s">
        <v>105</v>
      </c>
      <c r="F24" t="s">
        <v>107</v>
      </c>
      <c r="G24">
        <v>10</v>
      </c>
      <c r="H24">
        <v>6</v>
      </c>
      <c r="I24" t="s">
        <v>40</v>
      </c>
      <c r="J24">
        <v>162</v>
      </c>
      <c r="K24">
        <v>152</v>
      </c>
      <c r="L24">
        <v>93.8</v>
      </c>
      <c r="M24">
        <v>1</v>
      </c>
      <c r="N24">
        <v>2</v>
      </c>
      <c r="O24">
        <v>6581</v>
      </c>
      <c r="P24">
        <v>6</v>
      </c>
      <c r="Q24">
        <v>95</v>
      </c>
      <c r="R24">
        <v>95</v>
      </c>
      <c r="S24" t="s">
        <v>41</v>
      </c>
      <c r="T24" t="s">
        <v>56</v>
      </c>
      <c r="U24" s="1">
        <f t="shared" si="0"/>
        <v>0.93827160493827155</v>
      </c>
      <c r="V24" s="1">
        <f t="shared" si="1"/>
        <v>6.1728395061728392E-3</v>
      </c>
      <c r="W24" s="2">
        <f t="shared" si="2"/>
        <v>1.2345679012345678E-2</v>
      </c>
      <c r="X24" s="2">
        <f t="shared" si="3"/>
        <v>40.623456790123456</v>
      </c>
      <c r="Y24" s="2">
        <f t="shared" si="4"/>
        <v>1</v>
      </c>
      <c r="Z24" s="2">
        <f t="shared" si="5"/>
        <v>0.6</v>
      </c>
    </row>
    <row r="25" spans="1:26">
      <c r="A25" t="s">
        <v>108</v>
      </c>
      <c r="B25" t="s">
        <v>44</v>
      </c>
      <c r="C25" t="s">
        <v>45</v>
      </c>
      <c r="D25" t="s">
        <v>60</v>
      </c>
      <c r="E25" t="s">
        <v>107</v>
      </c>
      <c r="F25" t="s">
        <v>109</v>
      </c>
      <c r="G25">
        <v>11</v>
      </c>
      <c r="H25">
        <v>6</v>
      </c>
      <c r="I25" t="s">
        <v>48</v>
      </c>
      <c r="J25">
        <v>79</v>
      </c>
      <c r="K25">
        <v>64</v>
      </c>
      <c r="L25">
        <v>81</v>
      </c>
      <c r="M25">
        <v>4</v>
      </c>
      <c r="N25">
        <v>4</v>
      </c>
      <c r="O25">
        <v>4605</v>
      </c>
      <c r="P25">
        <v>5</v>
      </c>
      <c r="Q25">
        <v>95</v>
      </c>
      <c r="R25">
        <v>96</v>
      </c>
      <c r="S25" t="s">
        <v>41</v>
      </c>
      <c r="T25" t="s">
        <v>63</v>
      </c>
      <c r="U25" s="1">
        <f t="shared" si="0"/>
        <v>0.810126582278481</v>
      </c>
      <c r="V25" s="1">
        <f t="shared" si="1"/>
        <v>5.0632911392405063E-2</v>
      </c>
      <c r="W25" s="2">
        <f t="shared" si="2"/>
        <v>5.0632911392405063E-2</v>
      </c>
      <c r="X25" s="2">
        <f t="shared" si="3"/>
        <v>58.291139240506332</v>
      </c>
      <c r="Y25" s="2">
        <f t="shared" si="4"/>
        <v>1.0105263157894737</v>
      </c>
      <c r="Z25" s="2">
        <f t="shared" si="5"/>
        <v>0.54545454545454541</v>
      </c>
    </row>
    <row r="26" spans="1:26">
      <c r="A26" t="s">
        <v>110</v>
      </c>
      <c r="B26" t="s">
        <v>51</v>
      </c>
      <c r="C26" t="s">
        <v>52</v>
      </c>
      <c r="D26" t="s">
        <v>23</v>
      </c>
      <c r="E26" t="s">
        <v>109</v>
      </c>
      <c r="F26" t="s">
        <v>111</v>
      </c>
      <c r="G26">
        <v>9</v>
      </c>
      <c r="H26">
        <v>5</v>
      </c>
      <c r="I26" t="s">
        <v>55</v>
      </c>
      <c r="J26">
        <v>73</v>
      </c>
      <c r="K26">
        <v>68</v>
      </c>
      <c r="L26">
        <v>93.2</v>
      </c>
      <c r="M26">
        <v>8</v>
      </c>
      <c r="N26">
        <v>2</v>
      </c>
      <c r="O26">
        <v>5547</v>
      </c>
      <c r="P26">
        <v>4</v>
      </c>
      <c r="Q26">
        <v>95</v>
      </c>
      <c r="R26">
        <v>99</v>
      </c>
      <c r="S26" t="s">
        <v>41</v>
      </c>
      <c r="T26" t="s">
        <v>28</v>
      </c>
      <c r="U26" s="1">
        <f t="shared" si="0"/>
        <v>0.93150684931506844</v>
      </c>
      <c r="V26" s="1">
        <f t="shared" si="1"/>
        <v>0.1095890410958904</v>
      </c>
      <c r="W26" s="2">
        <f t="shared" si="2"/>
        <v>2.7397260273972601E-2</v>
      </c>
      <c r="X26" s="2">
        <f t="shared" si="3"/>
        <v>75.986301369863014</v>
      </c>
      <c r="Y26" s="2">
        <f t="shared" si="4"/>
        <v>1.0421052631578946</v>
      </c>
      <c r="Z26" s="2">
        <f t="shared" si="5"/>
        <v>0.55555555555555558</v>
      </c>
    </row>
    <row r="27" spans="1:26">
      <c r="A27" t="s">
        <v>112</v>
      </c>
      <c r="B27" t="s">
        <v>58</v>
      </c>
      <c r="C27" t="s">
        <v>59</v>
      </c>
      <c r="D27" t="s">
        <v>32</v>
      </c>
      <c r="E27" t="s">
        <v>111</v>
      </c>
      <c r="F27" t="s">
        <v>113</v>
      </c>
      <c r="G27">
        <v>6</v>
      </c>
      <c r="H27">
        <v>4</v>
      </c>
      <c r="I27" t="s">
        <v>62</v>
      </c>
      <c r="J27">
        <v>82</v>
      </c>
      <c r="K27">
        <v>76</v>
      </c>
      <c r="L27">
        <v>92.7</v>
      </c>
      <c r="M27">
        <v>1</v>
      </c>
      <c r="N27">
        <v>2</v>
      </c>
      <c r="O27">
        <v>4189</v>
      </c>
      <c r="P27">
        <v>3</v>
      </c>
      <c r="Q27">
        <v>95</v>
      </c>
      <c r="R27">
        <v>99</v>
      </c>
      <c r="S27" t="s">
        <v>41</v>
      </c>
      <c r="T27" t="s">
        <v>35</v>
      </c>
      <c r="U27" s="1">
        <f t="shared" si="0"/>
        <v>0.92682926829268297</v>
      </c>
      <c r="V27" s="1">
        <f t="shared" si="1"/>
        <v>1.2195121951219513E-2</v>
      </c>
      <c r="W27" s="2">
        <f t="shared" si="2"/>
        <v>2.4390243902439025E-2</v>
      </c>
      <c r="X27" s="2">
        <f t="shared" si="3"/>
        <v>51.085365853658537</v>
      </c>
      <c r="Y27" s="2">
        <f t="shared" si="4"/>
        <v>1.0421052631578946</v>
      </c>
      <c r="Z27" s="2">
        <f t="shared" si="5"/>
        <v>0.66666666666666663</v>
      </c>
    </row>
    <row r="28" spans="1:26">
      <c r="A28" t="s">
        <v>114</v>
      </c>
      <c r="B28" t="s">
        <v>65</v>
      </c>
      <c r="C28" t="s">
        <v>45</v>
      </c>
      <c r="D28" t="s">
        <v>38</v>
      </c>
      <c r="E28" t="s">
        <v>113</v>
      </c>
      <c r="F28" t="s">
        <v>115</v>
      </c>
      <c r="G28">
        <v>7</v>
      </c>
      <c r="H28">
        <v>7</v>
      </c>
      <c r="I28" t="s">
        <v>67</v>
      </c>
      <c r="J28">
        <v>152</v>
      </c>
      <c r="K28">
        <v>144</v>
      </c>
      <c r="L28">
        <v>94.7</v>
      </c>
      <c r="M28">
        <v>5</v>
      </c>
      <c r="N28">
        <v>2</v>
      </c>
      <c r="O28">
        <v>6798</v>
      </c>
      <c r="P28">
        <v>5</v>
      </c>
      <c r="Q28">
        <v>95</v>
      </c>
      <c r="R28">
        <v>88</v>
      </c>
      <c r="S28" t="s">
        <v>27</v>
      </c>
      <c r="T28" t="s">
        <v>42</v>
      </c>
      <c r="U28" s="1">
        <f t="shared" si="0"/>
        <v>0.94736842105263153</v>
      </c>
      <c r="V28" s="1">
        <f t="shared" si="1"/>
        <v>3.2894736842105261E-2</v>
      </c>
      <c r="W28" s="2">
        <f t="shared" si="2"/>
        <v>1.3157894736842105E-2</v>
      </c>
      <c r="X28" s="2">
        <f t="shared" si="3"/>
        <v>44.723684210526315</v>
      </c>
      <c r="Y28" s="2">
        <f t="shared" si="4"/>
        <v>0.9263157894736842</v>
      </c>
      <c r="Z28" s="2">
        <f t="shared" si="5"/>
        <v>1</v>
      </c>
    </row>
    <row r="29" spans="1:26">
      <c r="A29" t="s">
        <v>116</v>
      </c>
      <c r="B29" t="s">
        <v>69</v>
      </c>
      <c r="C29" t="s">
        <v>70</v>
      </c>
      <c r="D29" t="s">
        <v>46</v>
      </c>
      <c r="E29" t="s">
        <v>115</v>
      </c>
      <c r="F29" t="s">
        <v>117</v>
      </c>
      <c r="G29">
        <v>5</v>
      </c>
      <c r="H29">
        <v>4</v>
      </c>
      <c r="I29" t="s">
        <v>72</v>
      </c>
      <c r="J29">
        <v>91</v>
      </c>
      <c r="K29">
        <v>84</v>
      </c>
      <c r="L29">
        <v>92.3</v>
      </c>
      <c r="M29">
        <v>6</v>
      </c>
      <c r="N29">
        <v>4</v>
      </c>
      <c r="O29">
        <v>4545</v>
      </c>
      <c r="P29">
        <v>4</v>
      </c>
      <c r="Q29">
        <v>95</v>
      </c>
      <c r="R29">
        <v>95</v>
      </c>
      <c r="S29" t="s">
        <v>41</v>
      </c>
      <c r="T29" t="s">
        <v>49</v>
      </c>
      <c r="U29" s="1">
        <f t="shared" si="0"/>
        <v>0.92307692307692313</v>
      </c>
      <c r="V29" s="1">
        <f t="shared" si="1"/>
        <v>6.5934065934065936E-2</v>
      </c>
      <c r="W29" s="2">
        <f t="shared" si="2"/>
        <v>4.3956043956043959E-2</v>
      </c>
      <c r="X29" s="2">
        <f t="shared" si="3"/>
        <v>49.945054945054942</v>
      </c>
      <c r="Y29" s="2">
        <f t="shared" si="4"/>
        <v>1</v>
      </c>
      <c r="Z29" s="2">
        <f t="shared" si="5"/>
        <v>0.8</v>
      </c>
    </row>
    <row r="30" spans="1:26">
      <c r="A30" t="s">
        <v>118</v>
      </c>
      <c r="B30" t="s">
        <v>74</v>
      </c>
      <c r="C30" t="s">
        <v>75</v>
      </c>
      <c r="D30" t="s">
        <v>53</v>
      </c>
      <c r="E30" t="s">
        <v>117</v>
      </c>
      <c r="F30" t="s">
        <v>119</v>
      </c>
      <c r="G30">
        <v>10</v>
      </c>
      <c r="H30">
        <v>8</v>
      </c>
      <c r="I30" t="s">
        <v>77</v>
      </c>
      <c r="J30">
        <v>70</v>
      </c>
      <c r="K30">
        <v>65</v>
      </c>
      <c r="L30">
        <v>92.9</v>
      </c>
      <c r="M30">
        <v>2</v>
      </c>
      <c r="N30">
        <v>3</v>
      </c>
      <c r="O30">
        <v>4938</v>
      </c>
      <c r="P30">
        <v>1</v>
      </c>
      <c r="Q30">
        <v>95</v>
      </c>
      <c r="R30">
        <v>88</v>
      </c>
      <c r="S30" t="s">
        <v>27</v>
      </c>
      <c r="T30" t="s">
        <v>56</v>
      </c>
      <c r="U30" s="1">
        <f t="shared" si="0"/>
        <v>0.9285714285714286</v>
      </c>
      <c r="V30" s="1">
        <f t="shared" si="1"/>
        <v>2.8571428571428571E-2</v>
      </c>
      <c r="W30" s="2">
        <f t="shared" si="2"/>
        <v>4.2857142857142858E-2</v>
      </c>
      <c r="X30" s="2">
        <f t="shared" si="3"/>
        <v>70.542857142857144</v>
      </c>
      <c r="Y30" s="2">
        <f t="shared" si="4"/>
        <v>0.9263157894736842</v>
      </c>
      <c r="Z30" s="2">
        <f t="shared" si="5"/>
        <v>0.8</v>
      </c>
    </row>
    <row r="31" spans="1:26">
      <c r="A31" t="s">
        <v>120</v>
      </c>
      <c r="B31" t="s">
        <v>79</v>
      </c>
      <c r="C31" t="s">
        <v>52</v>
      </c>
      <c r="D31" t="s">
        <v>60</v>
      </c>
      <c r="E31" t="s">
        <v>119</v>
      </c>
      <c r="F31" t="s">
        <v>121</v>
      </c>
      <c r="G31">
        <v>9</v>
      </c>
      <c r="H31">
        <v>8</v>
      </c>
      <c r="I31" t="s">
        <v>81</v>
      </c>
      <c r="J31">
        <v>111</v>
      </c>
      <c r="K31">
        <v>104</v>
      </c>
      <c r="L31">
        <v>93.7</v>
      </c>
      <c r="M31">
        <v>2</v>
      </c>
      <c r="N31">
        <v>3</v>
      </c>
      <c r="O31">
        <v>6518</v>
      </c>
      <c r="P31">
        <v>6</v>
      </c>
      <c r="Q31">
        <v>95</v>
      </c>
      <c r="R31">
        <v>87</v>
      </c>
      <c r="S31" t="s">
        <v>27</v>
      </c>
      <c r="T31" t="s">
        <v>63</v>
      </c>
      <c r="U31" s="1">
        <f t="shared" si="0"/>
        <v>0.93693693693693691</v>
      </c>
      <c r="V31" s="1">
        <f t="shared" si="1"/>
        <v>1.8018018018018018E-2</v>
      </c>
      <c r="W31" s="2">
        <f t="shared" si="2"/>
        <v>2.7027027027027029E-2</v>
      </c>
      <c r="X31" s="2">
        <f t="shared" si="3"/>
        <v>58.72072072072072</v>
      </c>
      <c r="Y31" s="2">
        <f t="shared" si="4"/>
        <v>0.91578947368421049</v>
      </c>
      <c r="Z31" s="2">
        <f t="shared" si="5"/>
        <v>0.88888888888888884</v>
      </c>
    </row>
    <row r="32" spans="1:26">
      <c r="A32" t="s">
        <v>122</v>
      </c>
      <c r="B32" t="s">
        <v>21</v>
      </c>
      <c r="C32" t="s">
        <v>22</v>
      </c>
      <c r="D32" t="s">
        <v>23</v>
      </c>
      <c r="E32" t="s">
        <v>121</v>
      </c>
      <c r="F32" t="s">
        <v>123</v>
      </c>
      <c r="G32">
        <v>10</v>
      </c>
      <c r="H32">
        <v>8</v>
      </c>
      <c r="I32" t="s">
        <v>26</v>
      </c>
      <c r="J32">
        <v>82</v>
      </c>
      <c r="K32">
        <v>78</v>
      </c>
      <c r="L32">
        <v>95.1</v>
      </c>
      <c r="M32">
        <v>4</v>
      </c>
      <c r="N32">
        <v>4</v>
      </c>
      <c r="O32">
        <v>7459</v>
      </c>
      <c r="P32">
        <v>8</v>
      </c>
      <c r="Q32">
        <v>95</v>
      </c>
      <c r="R32">
        <v>95</v>
      </c>
      <c r="S32" t="s">
        <v>41</v>
      </c>
      <c r="T32" t="s">
        <v>28</v>
      </c>
      <c r="U32" s="1">
        <f t="shared" si="0"/>
        <v>0.95121951219512191</v>
      </c>
      <c r="V32" s="1">
        <f t="shared" si="1"/>
        <v>4.878048780487805E-2</v>
      </c>
      <c r="W32" s="2">
        <f t="shared" si="2"/>
        <v>4.878048780487805E-2</v>
      </c>
      <c r="X32" s="2">
        <f t="shared" si="3"/>
        <v>90.963414634146346</v>
      </c>
      <c r="Y32" s="2">
        <f t="shared" si="4"/>
        <v>1</v>
      </c>
      <c r="Z32" s="2">
        <f t="shared" si="5"/>
        <v>0.8</v>
      </c>
    </row>
    <row r="33" spans="1:26">
      <c r="A33" t="s">
        <v>124</v>
      </c>
      <c r="B33" t="s">
        <v>30</v>
      </c>
      <c r="C33" t="s">
        <v>31</v>
      </c>
      <c r="D33" t="s">
        <v>32</v>
      </c>
      <c r="E33" t="s">
        <v>123</v>
      </c>
      <c r="F33" t="s">
        <v>125</v>
      </c>
      <c r="G33">
        <v>10</v>
      </c>
      <c r="H33">
        <v>8</v>
      </c>
      <c r="I33" t="s">
        <v>34</v>
      </c>
      <c r="J33">
        <v>105</v>
      </c>
      <c r="K33">
        <v>99</v>
      </c>
      <c r="L33">
        <v>94.3</v>
      </c>
      <c r="M33">
        <v>7</v>
      </c>
      <c r="N33">
        <v>4</v>
      </c>
      <c r="O33">
        <v>6719</v>
      </c>
      <c r="P33">
        <v>7</v>
      </c>
      <c r="Q33">
        <v>95</v>
      </c>
      <c r="R33">
        <v>98</v>
      </c>
      <c r="S33" t="s">
        <v>41</v>
      </c>
      <c r="T33" t="s">
        <v>35</v>
      </c>
      <c r="U33" s="1">
        <f t="shared" si="0"/>
        <v>0.94285714285714284</v>
      </c>
      <c r="V33" s="1">
        <f t="shared" si="1"/>
        <v>6.6666666666666666E-2</v>
      </c>
      <c r="W33" s="2">
        <f t="shared" si="2"/>
        <v>3.8095238095238099E-2</v>
      </c>
      <c r="X33" s="2">
        <f t="shared" si="3"/>
        <v>63.990476190476187</v>
      </c>
      <c r="Y33" s="2">
        <f t="shared" si="4"/>
        <v>1.0315789473684212</v>
      </c>
      <c r="Z33" s="2">
        <f t="shared" si="5"/>
        <v>0.8</v>
      </c>
    </row>
    <row r="34" spans="1:26">
      <c r="A34" t="s">
        <v>126</v>
      </c>
      <c r="B34" t="s">
        <v>37</v>
      </c>
      <c r="C34" t="s">
        <v>22</v>
      </c>
      <c r="D34" t="s">
        <v>38</v>
      </c>
      <c r="E34" t="s">
        <v>125</v>
      </c>
      <c r="F34" t="s">
        <v>127</v>
      </c>
      <c r="G34">
        <v>6</v>
      </c>
      <c r="H34">
        <v>5</v>
      </c>
      <c r="I34" t="s">
        <v>40</v>
      </c>
      <c r="J34">
        <v>157</v>
      </c>
      <c r="K34">
        <v>147</v>
      </c>
      <c r="L34">
        <v>93.6</v>
      </c>
      <c r="M34">
        <v>3</v>
      </c>
      <c r="N34">
        <v>4</v>
      </c>
      <c r="O34">
        <v>6175</v>
      </c>
      <c r="P34">
        <v>7</v>
      </c>
      <c r="Q34">
        <v>95</v>
      </c>
      <c r="R34">
        <v>94</v>
      </c>
      <c r="S34" t="s">
        <v>41</v>
      </c>
      <c r="T34" t="s">
        <v>42</v>
      </c>
      <c r="U34" s="1">
        <f t="shared" si="0"/>
        <v>0.93630573248407645</v>
      </c>
      <c r="V34" s="1">
        <f t="shared" si="1"/>
        <v>1.9108280254777069E-2</v>
      </c>
      <c r="W34" s="2">
        <f t="shared" si="2"/>
        <v>2.5477707006369428E-2</v>
      </c>
      <c r="X34" s="2">
        <f t="shared" si="3"/>
        <v>39.331210191082803</v>
      </c>
      <c r="Y34" s="2">
        <f t="shared" si="4"/>
        <v>0.98947368421052628</v>
      </c>
      <c r="Z34" s="2">
        <f t="shared" si="5"/>
        <v>0.83333333333333337</v>
      </c>
    </row>
    <row r="35" spans="1:26">
      <c r="A35" t="s">
        <v>128</v>
      </c>
      <c r="B35" t="s">
        <v>44</v>
      </c>
      <c r="C35" t="s">
        <v>45</v>
      </c>
      <c r="D35" t="s">
        <v>46</v>
      </c>
      <c r="E35" t="s">
        <v>127</v>
      </c>
      <c r="F35" t="s">
        <v>129</v>
      </c>
      <c r="G35">
        <v>9</v>
      </c>
      <c r="H35">
        <v>6</v>
      </c>
      <c r="I35" t="s">
        <v>48</v>
      </c>
      <c r="J35">
        <v>81</v>
      </c>
      <c r="K35">
        <v>72</v>
      </c>
      <c r="L35">
        <v>88.9</v>
      </c>
      <c r="M35">
        <v>8</v>
      </c>
      <c r="N35">
        <v>1</v>
      </c>
      <c r="O35">
        <v>6275</v>
      </c>
      <c r="P35">
        <v>6</v>
      </c>
      <c r="Q35">
        <v>95</v>
      </c>
      <c r="R35">
        <v>85</v>
      </c>
      <c r="S35" t="s">
        <v>27</v>
      </c>
      <c r="T35" t="s">
        <v>49</v>
      </c>
      <c r="U35" s="1">
        <f t="shared" si="0"/>
        <v>0.88888888888888884</v>
      </c>
      <c r="V35" s="1">
        <f t="shared" si="1"/>
        <v>9.8765432098765427E-2</v>
      </c>
      <c r="W35" s="2">
        <f t="shared" si="2"/>
        <v>1.2345679012345678E-2</v>
      </c>
      <c r="X35" s="2">
        <f t="shared" si="3"/>
        <v>77.46913580246914</v>
      </c>
      <c r="Y35" s="2">
        <f t="shared" si="4"/>
        <v>0.89473684210526316</v>
      </c>
      <c r="Z35" s="2">
        <f t="shared" si="5"/>
        <v>0.66666666666666663</v>
      </c>
    </row>
    <row r="36" spans="1:26">
      <c r="A36" t="s">
        <v>130</v>
      </c>
      <c r="B36" t="s">
        <v>51</v>
      </c>
      <c r="C36" t="s">
        <v>52</v>
      </c>
      <c r="D36" t="s">
        <v>53</v>
      </c>
      <c r="E36" t="s">
        <v>129</v>
      </c>
      <c r="F36" t="s">
        <v>131</v>
      </c>
      <c r="G36">
        <v>4</v>
      </c>
      <c r="H36">
        <v>4</v>
      </c>
      <c r="I36" t="s">
        <v>55</v>
      </c>
      <c r="J36">
        <v>131</v>
      </c>
      <c r="K36">
        <v>119</v>
      </c>
      <c r="L36">
        <v>90.8</v>
      </c>
      <c r="M36">
        <v>7</v>
      </c>
      <c r="N36">
        <v>2</v>
      </c>
      <c r="O36">
        <v>4066</v>
      </c>
      <c r="P36">
        <v>7</v>
      </c>
      <c r="Q36">
        <v>95</v>
      </c>
      <c r="R36">
        <v>91</v>
      </c>
      <c r="S36" t="s">
        <v>27</v>
      </c>
      <c r="T36" t="s">
        <v>56</v>
      </c>
      <c r="U36" s="1">
        <f t="shared" si="0"/>
        <v>0.90839694656488545</v>
      </c>
      <c r="V36" s="1">
        <f t="shared" si="1"/>
        <v>5.3435114503816793E-2</v>
      </c>
      <c r="W36" s="2">
        <f t="shared" si="2"/>
        <v>1.5267175572519083E-2</v>
      </c>
      <c r="X36" s="2">
        <f t="shared" si="3"/>
        <v>31.038167938931299</v>
      </c>
      <c r="Y36" s="2">
        <f t="shared" si="4"/>
        <v>0.95789473684210524</v>
      </c>
      <c r="Z36" s="2">
        <f t="shared" si="5"/>
        <v>1</v>
      </c>
    </row>
    <row r="37" spans="1:26">
      <c r="A37" t="s">
        <v>132</v>
      </c>
      <c r="B37" t="s">
        <v>58</v>
      </c>
      <c r="C37" t="s">
        <v>59</v>
      </c>
      <c r="D37" t="s">
        <v>60</v>
      </c>
      <c r="E37" t="s">
        <v>131</v>
      </c>
      <c r="F37" t="s">
        <v>133</v>
      </c>
      <c r="G37">
        <v>6</v>
      </c>
      <c r="H37">
        <v>4</v>
      </c>
      <c r="I37" t="s">
        <v>62</v>
      </c>
      <c r="J37">
        <v>73</v>
      </c>
      <c r="K37">
        <v>60</v>
      </c>
      <c r="L37">
        <v>82.2</v>
      </c>
      <c r="M37">
        <v>3</v>
      </c>
      <c r="N37">
        <v>1</v>
      </c>
      <c r="O37">
        <v>6620</v>
      </c>
      <c r="P37">
        <v>6</v>
      </c>
      <c r="Q37">
        <v>95</v>
      </c>
      <c r="R37">
        <v>97</v>
      </c>
      <c r="S37" t="s">
        <v>41</v>
      </c>
      <c r="T37" t="s">
        <v>63</v>
      </c>
      <c r="U37" s="1">
        <f t="shared" si="0"/>
        <v>0.82191780821917804</v>
      </c>
      <c r="V37" s="1">
        <f t="shared" si="1"/>
        <v>4.1095890410958902E-2</v>
      </c>
      <c r="W37" s="2">
        <f t="shared" si="2"/>
        <v>1.3698630136986301E-2</v>
      </c>
      <c r="X37" s="2">
        <f t="shared" si="3"/>
        <v>90.68493150684931</v>
      </c>
      <c r="Y37" s="2">
        <f t="shared" si="4"/>
        <v>1.0210526315789474</v>
      </c>
      <c r="Z37" s="2">
        <f t="shared" si="5"/>
        <v>0.66666666666666663</v>
      </c>
    </row>
    <row r="38" spans="1:26">
      <c r="A38" t="s">
        <v>134</v>
      </c>
      <c r="B38" t="s">
        <v>65</v>
      </c>
      <c r="C38" t="s">
        <v>45</v>
      </c>
      <c r="D38" t="s">
        <v>23</v>
      </c>
      <c r="E38" t="s">
        <v>133</v>
      </c>
      <c r="F38" t="s">
        <v>135</v>
      </c>
      <c r="G38">
        <v>8</v>
      </c>
      <c r="H38">
        <v>4</v>
      </c>
      <c r="I38" t="s">
        <v>67</v>
      </c>
      <c r="J38">
        <v>74</v>
      </c>
      <c r="K38">
        <v>57</v>
      </c>
      <c r="L38">
        <v>77</v>
      </c>
      <c r="M38">
        <v>7</v>
      </c>
      <c r="N38">
        <v>3</v>
      </c>
      <c r="O38">
        <v>4257</v>
      </c>
      <c r="P38">
        <v>7</v>
      </c>
      <c r="Q38">
        <v>95</v>
      </c>
      <c r="R38">
        <v>85</v>
      </c>
      <c r="S38" t="s">
        <v>27</v>
      </c>
      <c r="T38" t="s">
        <v>28</v>
      </c>
      <c r="U38" s="1">
        <f t="shared" si="0"/>
        <v>0.77027027027027029</v>
      </c>
      <c r="V38" s="1">
        <f t="shared" si="1"/>
        <v>9.45945945945946E-2</v>
      </c>
      <c r="W38" s="2">
        <f t="shared" si="2"/>
        <v>4.0540540540540543E-2</v>
      </c>
      <c r="X38" s="2">
        <f t="shared" si="3"/>
        <v>57.527027027027025</v>
      </c>
      <c r="Y38" s="2">
        <f t="shared" si="4"/>
        <v>0.89473684210526316</v>
      </c>
      <c r="Z38" s="2">
        <f t="shared" si="5"/>
        <v>0.5</v>
      </c>
    </row>
    <row r="39" spans="1:26">
      <c r="A39" t="s">
        <v>136</v>
      </c>
      <c r="B39" t="s">
        <v>69</v>
      </c>
      <c r="C39" t="s">
        <v>70</v>
      </c>
      <c r="D39" t="s">
        <v>32</v>
      </c>
      <c r="E39" t="s">
        <v>135</v>
      </c>
      <c r="F39" t="s">
        <v>137</v>
      </c>
      <c r="G39">
        <v>11</v>
      </c>
      <c r="H39">
        <v>7</v>
      </c>
      <c r="I39" t="s">
        <v>72</v>
      </c>
      <c r="J39">
        <v>89</v>
      </c>
      <c r="K39">
        <v>83</v>
      </c>
      <c r="L39">
        <v>93.3</v>
      </c>
      <c r="M39">
        <v>6</v>
      </c>
      <c r="N39">
        <v>4</v>
      </c>
      <c r="O39">
        <v>4534</v>
      </c>
      <c r="P39">
        <v>5</v>
      </c>
      <c r="Q39">
        <v>95</v>
      </c>
      <c r="R39">
        <v>85</v>
      </c>
      <c r="S39" t="s">
        <v>27</v>
      </c>
      <c r="T39" t="s">
        <v>35</v>
      </c>
      <c r="U39" s="1">
        <f t="shared" si="0"/>
        <v>0.93258426966292129</v>
      </c>
      <c r="V39" s="1">
        <f t="shared" si="1"/>
        <v>6.741573033707865E-2</v>
      </c>
      <c r="W39" s="2">
        <f t="shared" si="2"/>
        <v>4.49438202247191E-2</v>
      </c>
      <c r="X39" s="2">
        <f t="shared" si="3"/>
        <v>50.943820224719104</v>
      </c>
      <c r="Y39" s="2">
        <f t="shared" si="4"/>
        <v>0.89473684210526316</v>
      </c>
      <c r="Z39" s="2">
        <f t="shared" si="5"/>
        <v>0.63636363636363635</v>
      </c>
    </row>
    <row r="40" spans="1:26">
      <c r="A40" t="s">
        <v>138</v>
      </c>
      <c r="B40" t="s">
        <v>74</v>
      </c>
      <c r="C40" t="s">
        <v>75</v>
      </c>
      <c r="D40" t="s">
        <v>38</v>
      </c>
      <c r="E40" t="s">
        <v>137</v>
      </c>
      <c r="F40" t="s">
        <v>139</v>
      </c>
      <c r="G40">
        <v>12</v>
      </c>
      <c r="H40">
        <v>7</v>
      </c>
      <c r="I40" t="s">
        <v>77</v>
      </c>
      <c r="J40">
        <v>78</v>
      </c>
      <c r="K40">
        <v>72</v>
      </c>
      <c r="L40">
        <v>92.3</v>
      </c>
      <c r="M40">
        <v>7</v>
      </c>
      <c r="N40">
        <v>4</v>
      </c>
      <c r="O40">
        <v>4360</v>
      </c>
      <c r="P40">
        <v>8</v>
      </c>
      <c r="Q40">
        <v>95</v>
      </c>
      <c r="R40">
        <v>96</v>
      </c>
      <c r="S40" t="s">
        <v>41</v>
      </c>
      <c r="T40" t="s">
        <v>42</v>
      </c>
      <c r="U40" s="1">
        <f t="shared" si="0"/>
        <v>0.92307692307692313</v>
      </c>
      <c r="V40" s="1">
        <f t="shared" si="1"/>
        <v>8.9743589743589744E-2</v>
      </c>
      <c r="W40" s="2">
        <f t="shared" si="2"/>
        <v>5.128205128205128E-2</v>
      </c>
      <c r="X40" s="2">
        <f t="shared" si="3"/>
        <v>55.897435897435898</v>
      </c>
      <c r="Y40" s="2">
        <f t="shared" si="4"/>
        <v>1.0105263157894737</v>
      </c>
      <c r="Z40" s="2">
        <f t="shared" si="5"/>
        <v>0.58333333333333337</v>
      </c>
    </row>
    <row r="41" spans="1:26">
      <c r="A41" t="s">
        <v>140</v>
      </c>
      <c r="B41" t="s">
        <v>79</v>
      </c>
      <c r="C41" t="s">
        <v>52</v>
      </c>
      <c r="D41" t="s">
        <v>46</v>
      </c>
      <c r="E41" t="s">
        <v>139</v>
      </c>
      <c r="F41" t="s">
        <v>141</v>
      </c>
      <c r="G41">
        <v>5</v>
      </c>
      <c r="H41">
        <v>5</v>
      </c>
      <c r="I41" t="s">
        <v>81</v>
      </c>
      <c r="J41">
        <v>141</v>
      </c>
      <c r="K41">
        <v>135</v>
      </c>
      <c r="L41">
        <v>95.7</v>
      </c>
      <c r="M41">
        <v>5</v>
      </c>
      <c r="N41">
        <v>2</v>
      </c>
      <c r="O41">
        <v>4792</v>
      </c>
      <c r="P41">
        <v>7</v>
      </c>
      <c r="Q41">
        <v>95</v>
      </c>
      <c r="R41">
        <v>98</v>
      </c>
      <c r="S41" t="s">
        <v>41</v>
      </c>
      <c r="T41" t="s">
        <v>49</v>
      </c>
      <c r="U41" s="1">
        <f t="shared" si="0"/>
        <v>0.95744680851063835</v>
      </c>
      <c r="V41" s="1">
        <f t="shared" si="1"/>
        <v>3.5460992907801421E-2</v>
      </c>
      <c r="W41" s="2">
        <f t="shared" si="2"/>
        <v>1.4184397163120567E-2</v>
      </c>
      <c r="X41" s="2">
        <f t="shared" si="3"/>
        <v>33.98581560283688</v>
      </c>
      <c r="Y41" s="2">
        <f t="shared" si="4"/>
        <v>1.0315789473684212</v>
      </c>
      <c r="Z41" s="2">
        <f t="shared" si="5"/>
        <v>1</v>
      </c>
    </row>
    <row r="42" spans="1:26">
      <c r="A42" t="s">
        <v>142</v>
      </c>
      <c r="B42" t="s">
        <v>21</v>
      </c>
      <c r="C42" t="s">
        <v>22</v>
      </c>
      <c r="D42" t="s">
        <v>53</v>
      </c>
      <c r="E42" t="s">
        <v>141</v>
      </c>
      <c r="F42" t="s">
        <v>143</v>
      </c>
      <c r="G42">
        <v>8</v>
      </c>
      <c r="H42">
        <v>5</v>
      </c>
      <c r="I42" t="s">
        <v>26</v>
      </c>
      <c r="J42">
        <v>86</v>
      </c>
      <c r="K42">
        <v>82</v>
      </c>
      <c r="L42">
        <v>95.3</v>
      </c>
      <c r="M42">
        <v>7</v>
      </c>
      <c r="N42">
        <v>1</v>
      </c>
      <c r="O42">
        <v>4305</v>
      </c>
      <c r="P42">
        <v>6</v>
      </c>
      <c r="Q42">
        <v>95</v>
      </c>
      <c r="R42">
        <v>90</v>
      </c>
      <c r="S42" t="s">
        <v>27</v>
      </c>
      <c r="T42" t="s">
        <v>56</v>
      </c>
      <c r="U42" s="1">
        <f t="shared" si="0"/>
        <v>0.95348837209302328</v>
      </c>
      <c r="V42" s="1">
        <f t="shared" si="1"/>
        <v>8.1395348837209308E-2</v>
      </c>
      <c r="W42" s="2">
        <f t="shared" si="2"/>
        <v>1.1627906976744186E-2</v>
      </c>
      <c r="X42" s="2">
        <f t="shared" si="3"/>
        <v>50.058139534883722</v>
      </c>
      <c r="Y42" s="2">
        <f t="shared" si="4"/>
        <v>0.94736842105263153</v>
      </c>
      <c r="Z42" s="2">
        <f t="shared" si="5"/>
        <v>0.625</v>
      </c>
    </row>
    <row r="43" spans="1:26">
      <c r="A43" t="s">
        <v>144</v>
      </c>
      <c r="B43" t="s">
        <v>30</v>
      </c>
      <c r="C43" t="s">
        <v>31</v>
      </c>
      <c r="D43" t="s">
        <v>60</v>
      </c>
      <c r="E43" t="s">
        <v>143</v>
      </c>
      <c r="F43" t="s">
        <v>145</v>
      </c>
      <c r="G43">
        <v>7</v>
      </c>
      <c r="H43">
        <v>5</v>
      </c>
      <c r="I43" t="s">
        <v>34</v>
      </c>
      <c r="J43">
        <v>77</v>
      </c>
      <c r="K43">
        <v>64</v>
      </c>
      <c r="L43">
        <v>83.1</v>
      </c>
      <c r="M43">
        <v>7</v>
      </c>
      <c r="N43">
        <v>5</v>
      </c>
      <c r="O43">
        <v>6918</v>
      </c>
      <c r="P43">
        <v>8</v>
      </c>
      <c r="Q43">
        <v>95</v>
      </c>
      <c r="R43">
        <v>88</v>
      </c>
      <c r="S43" t="s">
        <v>27</v>
      </c>
      <c r="T43" t="s">
        <v>63</v>
      </c>
      <c r="U43" s="1">
        <f t="shared" si="0"/>
        <v>0.83116883116883122</v>
      </c>
      <c r="V43" s="1">
        <f t="shared" si="1"/>
        <v>9.0909090909090912E-2</v>
      </c>
      <c r="W43" s="2">
        <f t="shared" si="2"/>
        <v>6.4935064935064929E-2</v>
      </c>
      <c r="X43" s="2">
        <f t="shared" si="3"/>
        <v>89.84415584415585</v>
      </c>
      <c r="Y43" s="2">
        <f t="shared" si="4"/>
        <v>0.9263157894736842</v>
      </c>
      <c r="Z43" s="2">
        <f t="shared" si="5"/>
        <v>0.7142857142857143</v>
      </c>
    </row>
    <row r="44" spans="1:26">
      <c r="A44" t="s">
        <v>146</v>
      </c>
      <c r="B44" t="s">
        <v>37</v>
      </c>
      <c r="C44" t="s">
        <v>22</v>
      </c>
      <c r="D44" t="s">
        <v>23</v>
      </c>
      <c r="E44" t="s">
        <v>145</v>
      </c>
      <c r="F44" t="s">
        <v>147</v>
      </c>
      <c r="G44">
        <v>7</v>
      </c>
      <c r="H44">
        <v>4</v>
      </c>
      <c r="I44" t="s">
        <v>40</v>
      </c>
      <c r="J44">
        <v>103</v>
      </c>
      <c r="K44">
        <v>86</v>
      </c>
      <c r="L44">
        <v>83.5</v>
      </c>
      <c r="M44">
        <v>3</v>
      </c>
      <c r="N44">
        <v>5</v>
      </c>
      <c r="O44">
        <v>6278</v>
      </c>
      <c r="P44">
        <v>1</v>
      </c>
      <c r="Q44">
        <v>95</v>
      </c>
      <c r="R44">
        <v>97</v>
      </c>
      <c r="S44" t="s">
        <v>41</v>
      </c>
      <c r="T44" t="s">
        <v>28</v>
      </c>
      <c r="U44" s="1">
        <f t="shared" si="0"/>
        <v>0.83495145631067957</v>
      </c>
      <c r="V44" s="1">
        <f t="shared" si="1"/>
        <v>2.9126213592233011E-2</v>
      </c>
      <c r="W44" s="2">
        <f t="shared" si="2"/>
        <v>4.8543689320388349E-2</v>
      </c>
      <c r="X44" s="2">
        <f t="shared" si="3"/>
        <v>60.95145631067961</v>
      </c>
      <c r="Y44" s="2">
        <f t="shared" si="4"/>
        <v>1.0210526315789474</v>
      </c>
      <c r="Z44" s="2">
        <f t="shared" si="5"/>
        <v>0.5714285714285714</v>
      </c>
    </row>
    <row r="45" spans="1:26">
      <c r="A45" t="s">
        <v>148</v>
      </c>
      <c r="B45" t="s">
        <v>44</v>
      </c>
      <c r="C45" t="s">
        <v>45</v>
      </c>
      <c r="D45" t="s">
        <v>32</v>
      </c>
      <c r="E45" t="s">
        <v>147</v>
      </c>
      <c r="F45" t="s">
        <v>149</v>
      </c>
      <c r="G45">
        <v>10</v>
      </c>
      <c r="H45">
        <v>8</v>
      </c>
      <c r="I45" t="s">
        <v>48</v>
      </c>
      <c r="J45">
        <v>92</v>
      </c>
      <c r="K45">
        <v>89</v>
      </c>
      <c r="L45">
        <v>96.7</v>
      </c>
      <c r="M45">
        <v>8</v>
      </c>
      <c r="N45">
        <v>3</v>
      </c>
      <c r="O45">
        <v>7122</v>
      </c>
      <c r="P45">
        <v>5</v>
      </c>
      <c r="Q45">
        <v>95</v>
      </c>
      <c r="R45">
        <v>89</v>
      </c>
      <c r="S45" t="s">
        <v>27</v>
      </c>
      <c r="T45" t="s">
        <v>35</v>
      </c>
      <c r="U45" s="1">
        <f t="shared" si="0"/>
        <v>0.96739130434782605</v>
      </c>
      <c r="V45" s="1">
        <f t="shared" si="1"/>
        <v>8.6956521739130432E-2</v>
      </c>
      <c r="W45" s="2">
        <f t="shared" si="2"/>
        <v>3.2608695652173912E-2</v>
      </c>
      <c r="X45" s="2">
        <f t="shared" si="3"/>
        <v>77.413043478260875</v>
      </c>
      <c r="Y45" s="2">
        <f t="shared" si="4"/>
        <v>0.93684210526315792</v>
      </c>
      <c r="Z45" s="2">
        <f t="shared" si="5"/>
        <v>0.8</v>
      </c>
    </row>
    <row r="46" spans="1:26">
      <c r="A46" t="s">
        <v>150</v>
      </c>
      <c r="B46" t="s">
        <v>51</v>
      </c>
      <c r="C46" t="s">
        <v>52</v>
      </c>
      <c r="D46" t="s">
        <v>38</v>
      </c>
      <c r="E46" t="s">
        <v>149</v>
      </c>
      <c r="F46" t="s">
        <v>151</v>
      </c>
      <c r="G46">
        <v>8</v>
      </c>
      <c r="H46">
        <v>6</v>
      </c>
      <c r="I46" t="s">
        <v>55</v>
      </c>
      <c r="J46">
        <v>103</v>
      </c>
      <c r="K46">
        <v>95</v>
      </c>
      <c r="L46">
        <v>92.2</v>
      </c>
      <c r="M46">
        <v>2</v>
      </c>
      <c r="N46">
        <v>5</v>
      </c>
      <c r="O46">
        <v>6875</v>
      </c>
      <c r="P46">
        <v>3</v>
      </c>
      <c r="Q46">
        <v>95</v>
      </c>
      <c r="R46">
        <v>88</v>
      </c>
      <c r="S46" t="s">
        <v>27</v>
      </c>
      <c r="T46" t="s">
        <v>42</v>
      </c>
      <c r="U46" s="1">
        <f t="shared" si="0"/>
        <v>0.92233009708737868</v>
      </c>
      <c r="V46" s="1">
        <f t="shared" si="1"/>
        <v>1.9417475728155338E-2</v>
      </c>
      <c r="W46" s="2">
        <f t="shared" si="2"/>
        <v>4.8543689320388349E-2</v>
      </c>
      <c r="X46" s="2">
        <f t="shared" si="3"/>
        <v>66.747572815533985</v>
      </c>
      <c r="Y46" s="2">
        <f t="shared" si="4"/>
        <v>0.9263157894736842</v>
      </c>
      <c r="Z46" s="2">
        <f t="shared" si="5"/>
        <v>0.75</v>
      </c>
    </row>
    <row r="47" spans="1:26">
      <c r="A47" t="s">
        <v>152</v>
      </c>
      <c r="B47" t="s">
        <v>58</v>
      </c>
      <c r="C47" t="s">
        <v>59</v>
      </c>
      <c r="D47" t="s">
        <v>46</v>
      </c>
      <c r="E47" t="s">
        <v>151</v>
      </c>
      <c r="F47" t="s">
        <v>153</v>
      </c>
      <c r="G47">
        <v>11</v>
      </c>
      <c r="H47">
        <v>6</v>
      </c>
      <c r="I47" t="s">
        <v>62</v>
      </c>
      <c r="J47">
        <v>120</v>
      </c>
      <c r="K47">
        <v>107</v>
      </c>
      <c r="L47">
        <v>89.2</v>
      </c>
      <c r="M47">
        <v>1</v>
      </c>
      <c r="N47">
        <v>5</v>
      </c>
      <c r="O47">
        <v>5117</v>
      </c>
      <c r="P47">
        <v>8</v>
      </c>
      <c r="Q47">
        <v>95</v>
      </c>
      <c r="R47">
        <v>97</v>
      </c>
      <c r="S47" t="s">
        <v>41</v>
      </c>
      <c r="T47" t="s">
        <v>49</v>
      </c>
      <c r="U47" s="1">
        <f t="shared" si="0"/>
        <v>0.89166666666666672</v>
      </c>
      <c r="V47" s="1">
        <f t="shared" si="1"/>
        <v>8.3333333333333332E-3</v>
      </c>
      <c r="W47" s="2">
        <f t="shared" si="2"/>
        <v>4.1666666666666664E-2</v>
      </c>
      <c r="X47" s="2">
        <f t="shared" si="3"/>
        <v>42.641666666666666</v>
      </c>
      <c r="Y47" s="2">
        <f t="shared" si="4"/>
        <v>1.0210526315789474</v>
      </c>
      <c r="Z47" s="2">
        <f t="shared" si="5"/>
        <v>0.54545454545454541</v>
      </c>
    </row>
    <row r="48" spans="1:26">
      <c r="A48" t="s">
        <v>154</v>
      </c>
      <c r="B48" t="s">
        <v>65</v>
      </c>
      <c r="C48" t="s">
        <v>45</v>
      </c>
      <c r="D48" t="s">
        <v>53</v>
      </c>
      <c r="E48" t="s">
        <v>153</v>
      </c>
      <c r="F48" t="s">
        <v>155</v>
      </c>
      <c r="G48">
        <v>10</v>
      </c>
      <c r="H48">
        <v>8</v>
      </c>
      <c r="I48" t="s">
        <v>67</v>
      </c>
      <c r="J48">
        <v>95</v>
      </c>
      <c r="K48">
        <v>84</v>
      </c>
      <c r="L48">
        <v>88.4</v>
      </c>
      <c r="M48">
        <v>4</v>
      </c>
      <c r="N48">
        <v>1</v>
      </c>
      <c r="O48">
        <v>6934</v>
      </c>
      <c r="P48">
        <v>1</v>
      </c>
      <c r="Q48">
        <v>95</v>
      </c>
      <c r="R48">
        <v>85</v>
      </c>
      <c r="S48" t="s">
        <v>27</v>
      </c>
      <c r="T48" t="s">
        <v>56</v>
      </c>
      <c r="U48" s="1">
        <f t="shared" si="0"/>
        <v>0.88421052631578945</v>
      </c>
      <c r="V48" s="1">
        <f t="shared" si="1"/>
        <v>4.2105263157894736E-2</v>
      </c>
      <c r="W48" s="2">
        <f t="shared" si="2"/>
        <v>1.0526315789473684E-2</v>
      </c>
      <c r="X48" s="2">
        <f t="shared" si="3"/>
        <v>72.989473684210523</v>
      </c>
      <c r="Y48" s="2">
        <f t="shared" si="4"/>
        <v>0.89473684210526316</v>
      </c>
      <c r="Z48" s="2">
        <f t="shared" si="5"/>
        <v>0.8</v>
      </c>
    </row>
    <row r="49" spans="1:26">
      <c r="A49" t="s">
        <v>156</v>
      </c>
      <c r="B49" t="s">
        <v>69</v>
      </c>
      <c r="C49" t="s">
        <v>70</v>
      </c>
      <c r="D49" t="s">
        <v>60</v>
      </c>
      <c r="E49" t="s">
        <v>155</v>
      </c>
      <c r="F49" t="s">
        <v>157</v>
      </c>
      <c r="G49">
        <v>6</v>
      </c>
      <c r="H49">
        <v>4</v>
      </c>
      <c r="I49" t="s">
        <v>72</v>
      </c>
      <c r="J49">
        <v>150</v>
      </c>
      <c r="K49">
        <v>138</v>
      </c>
      <c r="L49">
        <v>92</v>
      </c>
      <c r="M49">
        <v>4</v>
      </c>
      <c r="N49">
        <v>3</v>
      </c>
      <c r="O49">
        <v>7294</v>
      </c>
      <c r="P49">
        <v>6</v>
      </c>
      <c r="Q49">
        <v>95</v>
      </c>
      <c r="R49">
        <v>86</v>
      </c>
      <c r="S49" t="s">
        <v>27</v>
      </c>
      <c r="T49" t="s">
        <v>63</v>
      </c>
      <c r="U49" s="1">
        <f t="shared" si="0"/>
        <v>0.92</v>
      </c>
      <c r="V49" s="1">
        <f t="shared" si="1"/>
        <v>2.6666666666666668E-2</v>
      </c>
      <c r="W49" s="2">
        <f t="shared" si="2"/>
        <v>0.02</v>
      </c>
      <c r="X49" s="2">
        <f t="shared" si="3"/>
        <v>48.626666666666665</v>
      </c>
      <c r="Y49" s="2">
        <f t="shared" si="4"/>
        <v>0.90526315789473688</v>
      </c>
      <c r="Z49" s="2">
        <f t="shared" si="5"/>
        <v>0.66666666666666663</v>
      </c>
    </row>
    <row r="50" spans="1:26">
      <c r="A50" t="s">
        <v>158</v>
      </c>
      <c r="B50" t="s">
        <v>74</v>
      </c>
      <c r="C50" t="s">
        <v>75</v>
      </c>
      <c r="D50" t="s">
        <v>23</v>
      </c>
      <c r="E50" t="s">
        <v>157</v>
      </c>
      <c r="F50" t="s">
        <v>159</v>
      </c>
      <c r="G50">
        <v>6</v>
      </c>
      <c r="H50">
        <v>6</v>
      </c>
      <c r="I50" t="s">
        <v>77</v>
      </c>
      <c r="J50">
        <v>118</v>
      </c>
      <c r="K50">
        <v>112</v>
      </c>
      <c r="L50">
        <v>94.9</v>
      </c>
      <c r="M50">
        <v>2</v>
      </c>
      <c r="N50">
        <v>3</v>
      </c>
      <c r="O50">
        <v>4206</v>
      </c>
      <c r="P50">
        <v>4</v>
      </c>
      <c r="Q50">
        <v>95</v>
      </c>
      <c r="R50">
        <v>84</v>
      </c>
      <c r="S50" t="s">
        <v>27</v>
      </c>
      <c r="T50" t="s">
        <v>28</v>
      </c>
      <c r="U50" s="1">
        <f t="shared" si="0"/>
        <v>0.94915254237288138</v>
      </c>
      <c r="V50" s="1">
        <f t="shared" si="1"/>
        <v>1.6949152542372881E-2</v>
      </c>
      <c r="W50" s="2">
        <f t="shared" si="2"/>
        <v>2.5423728813559324E-2</v>
      </c>
      <c r="X50" s="2">
        <f t="shared" si="3"/>
        <v>35.644067796610166</v>
      </c>
      <c r="Y50" s="2">
        <f t="shared" si="4"/>
        <v>0.88421052631578945</v>
      </c>
      <c r="Z50" s="2">
        <f t="shared" si="5"/>
        <v>1</v>
      </c>
    </row>
    <row r="51" spans="1:26">
      <c r="A51" t="s">
        <v>160</v>
      </c>
      <c r="B51" t="s">
        <v>79</v>
      </c>
      <c r="C51" t="s">
        <v>52</v>
      </c>
      <c r="D51" t="s">
        <v>32</v>
      </c>
      <c r="E51" t="s">
        <v>159</v>
      </c>
      <c r="F51" t="s">
        <v>161</v>
      </c>
      <c r="G51">
        <v>10</v>
      </c>
      <c r="H51">
        <v>5</v>
      </c>
      <c r="I51" t="s">
        <v>81</v>
      </c>
      <c r="J51">
        <v>163</v>
      </c>
      <c r="K51">
        <v>146</v>
      </c>
      <c r="L51">
        <v>89.6</v>
      </c>
      <c r="M51">
        <v>4</v>
      </c>
      <c r="N51">
        <v>5</v>
      </c>
      <c r="O51">
        <v>5554</v>
      </c>
      <c r="P51">
        <v>1</v>
      </c>
      <c r="Q51">
        <v>95</v>
      </c>
      <c r="R51">
        <v>96</v>
      </c>
      <c r="S51" t="s">
        <v>41</v>
      </c>
      <c r="T51" t="s">
        <v>35</v>
      </c>
      <c r="U51" s="1">
        <f t="shared" si="0"/>
        <v>0.89570552147239269</v>
      </c>
      <c r="V51" s="1">
        <f t="shared" si="1"/>
        <v>2.4539877300613498E-2</v>
      </c>
      <c r="W51" s="2">
        <f t="shared" si="2"/>
        <v>3.0674846625766871E-2</v>
      </c>
      <c r="X51" s="2">
        <f t="shared" si="3"/>
        <v>34.073619631901842</v>
      </c>
      <c r="Y51" s="2">
        <f t="shared" si="4"/>
        <v>1.0105263157894737</v>
      </c>
      <c r="Z51" s="2">
        <f t="shared" si="5"/>
        <v>0.5</v>
      </c>
    </row>
    <row r="52" spans="1:26">
      <c r="A52" t="s">
        <v>162</v>
      </c>
      <c r="B52" t="s">
        <v>21</v>
      </c>
      <c r="C52" t="s">
        <v>22</v>
      </c>
      <c r="D52" t="s">
        <v>38</v>
      </c>
      <c r="E52" t="s">
        <v>161</v>
      </c>
      <c r="F52" t="s">
        <v>163</v>
      </c>
      <c r="G52">
        <v>11</v>
      </c>
      <c r="H52">
        <v>6</v>
      </c>
      <c r="I52" t="s">
        <v>26</v>
      </c>
      <c r="J52">
        <v>160</v>
      </c>
      <c r="K52">
        <v>155</v>
      </c>
      <c r="L52">
        <v>96.9</v>
      </c>
      <c r="M52">
        <v>5</v>
      </c>
      <c r="N52">
        <v>4</v>
      </c>
      <c r="O52">
        <v>7640</v>
      </c>
      <c r="P52">
        <v>6</v>
      </c>
      <c r="Q52">
        <v>95</v>
      </c>
      <c r="R52">
        <v>84</v>
      </c>
      <c r="S52" t="s">
        <v>27</v>
      </c>
      <c r="T52" t="s">
        <v>42</v>
      </c>
      <c r="U52" s="1">
        <f t="shared" si="0"/>
        <v>0.96875</v>
      </c>
      <c r="V52" s="1">
        <f t="shared" si="1"/>
        <v>3.125E-2</v>
      </c>
      <c r="W52" s="2">
        <f t="shared" si="2"/>
        <v>2.5000000000000001E-2</v>
      </c>
      <c r="X52" s="2">
        <f t="shared" si="3"/>
        <v>47.75</v>
      </c>
      <c r="Y52" s="2">
        <f t="shared" si="4"/>
        <v>0.88421052631578945</v>
      </c>
      <c r="Z52" s="2">
        <f t="shared" si="5"/>
        <v>0.54545454545454541</v>
      </c>
    </row>
    <row r="53" spans="1:26">
      <c r="A53" t="s">
        <v>164</v>
      </c>
      <c r="B53" t="s">
        <v>30</v>
      </c>
      <c r="C53" t="s">
        <v>31</v>
      </c>
      <c r="D53" t="s">
        <v>46</v>
      </c>
      <c r="E53" t="s">
        <v>163</v>
      </c>
      <c r="F53" t="s">
        <v>165</v>
      </c>
      <c r="G53">
        <v>9</v>
      </c>
      <c r="H53">
        <v>5</v>
      </c>
      <c r="I53" t="s">
        <v>34</v>
      </c>
      <c r="J53">
        <v>85</v>
      </c>
      <c r="K53">
        <v>80</v>
      </c>
      <c r="L53">
        <v>94.1</v>
      </c>
      <c r="M53">
        <v>8</v>
      </c>
      <c r="N53">
        <v>1</v>
      </c>
      <c r="O53">
        <v>3851</v>
      </c>
      <c r="P53">
        <v>5</v>
      </c>
      <c r="Q53">
        <v>95</v>
      </c>
      <c r="R53">
        <v>84</v>
      </c>
      <c r="S53" t="s">
        <v>27</v>
      </c>
      <c r="T53" t="s">
        <v>49</v>
      </c>
      <c r="U53" s="1">
        <f t="shared" si="0"/>
        <v>0.94117647058823528</v>
      </c>
      <c r="V53" s="1">
        <f t="shared" si="1"/>
        <v>9.4117647058823528E-2</v>
      </c>
      <c r="W53" s="2">
        <f t="shared" si="2"/>
        <v>1.1764705882352941E-2</v>
      </c>
      <c r="X53" s="2">
        <f t="shared" si="3"/>
        <v>45.305882352941175</v>
      </c>
      <c r="Y53" s="2">
        <f t="shared" si="4"/>
        <v>0.88421052631578945</v>
      </c>
      <c r="Z53" s="2">
        <f t="shared" si="5"/>
        <v>0.55555555555555558</v>
      </c>
    </row>
    <row r="54" spans="1:26">
      <c r="A54" t="s">
        <v>166</v>
      </c>
      <c r="B54" t="s">
        <v>37</v>
      </c>
      <c r="C54" t="s">
        <v>22</v>
      </c>
      <c r="D54" t="s">
        <v>53</v>
      </c>
      <c r="E54" t="s">
        <v>165</v>
      </c>
      <c r="F54" t="s">
        <v>167</v>
      </c>
      <c r="G54">
        <v>10</v>
      </c>
      <c r="H54">
        <v>8</v>
      </c>
      <c r="I54" t="s">
        <v>40</v>
      </c>
      <c r="J54">
        <v>95</v>
      </c>
      <c r="K54">
        <v>81</v>
      </c>
      <c r="L54">
        <v>85.3</v>
      </c>
      <c r="M54">
        <v>3</v>
      </c>
      <c r="N54">
        <v>2</v>
      </c>
      <c r="O54">
        <v>4927</v>
      </c>
      <c r="P54">
        <v>2</v>
      </c>
      <c r="Q54">
        <v>95</v>
      </c>
      <c r="R54">
        <v>89</v>
      </c>
      <c r="S54" t="s">
        <v>27</v>
      </c>
      <c r="T54" t="s">
        <v>56</v>
      </c>
      <c r="U54" s="1">
        <f t="shared" si="0"/>
        <v>0.85263157894736841</v>
      </c>
      <c r="V54" s="1">
        <f t="shared" si="1"/>
        <v>3.1578947368421054E-2</v>
      </c>
      <c r="W54" s="2">
        <f t="shared" si="2"/>
        <v>2.1052631578947368E-2</v>
      </c>
      <c r="X54" s="2">
        <f t="shared" si="3"/>
        <v>51.863157894736844</v>
      </c>
      <c r="Y54" s="2">
        <f t="shared" si="4"/>
        <v>0.93684210526315792</v>
      </c>
      <c r="Z54" s="2">
        <f t="shared" si="5"/>
        <v>0.8</v>
      </c>
    </row>
    <row r="55" spans="1:26">
      <c r="A55" t="s">
        <v>168</v>
      </c>
      <c r="B55" t="s">
        <v>44</v>
      </c>
      <c r="C55" t="s">
        <v>45</v>
      </c>
      <c r="D55" t="s">
        <v>60</v>
      </c>
      <c r="E55" t="s">
        <v>167</v>
      </c>
      <c r="F55" t="s">
        <v>169</v>
      </c>
      <c r="G55">
        <v>6</v>
      </c>
      <c r="H55">
        <v>5</v>
      </c>
      <c r="I55" t="s">
        <v>48</v>
      </c>
      <c r="J55">
        <v>89</v>
      </c>
      <c r="K55">
        <v>81</v>
      </c>
      <c r="L55">
        <v>91</v>
      </c>
      <c r="M55">
        <v>8</v>
      </c>
      <c r="N55">
        <v>4</v>
      </c>
      <c r="O55">
        <v>5727</v>
      </c>
      <c r="P55">
        <v>6</v>
      </c>
      <c r="Q55">
        <v>95</v>
      </c>
      <c r="R55">
        <v>93</v>
      </c>
      <c r="S55" t="s">
        <v>41</v>
      </c>
      <c r="T55" t="s">
        <v>63</v>
      </c>
      <c r="U55" s="1">
        <f t="shared" si="0"/>
        <v>0.9101123595505618</v>
      </c>
      <c r="V55" s="1">
        <f t="shared" si="1"/>
        <v>8.98876404494382E-2</v>
      </c>
      <c r="W55" s="2">
        <f t="shared" si="2"/>
        <v>4.49438202247191E-2</v>
      </c>
      <c r="X55" s="2">
        <f t="shared" si="3"/>
        <v>64.348314606741567</v>
      </c>
      <c r="Y55" s="2">
        <f t="shared" si="4"/>
        <v>0.97894736842105268</v>
      </c>
      <c r="Z55" s="2">
        <f t="shared" si="5"/>
        <v>0.83333333333333337</v>
      </c>
    </row>
    <row r="56" spans="1:26">
      <c r="A56" t="s">
        <v>170</v>
      </c>
      <c r="B56" t="s">
        <v>51</v>
      </c>
      <c r="C56" t="s">
        <v>52</v>
      </c>
      <c r="D56" t="s">
        <v>23</v>
      </c>
      <c r="E56" t="s">
        <v>169</v>
      </c>
      <c r="F56" t="s">
        <v>171</v>
      </c>
      <c r="G56">
        <v>7</v>
      </c>
      <c r="H56">
        <v>4</v>
      </c>
      <c r="I56" t="s">
        <v>55</v>
      </c>
      <c r="J56">
        <v>106</v>
      </c>
      <c r="K56">
        <v>91</v>
      </c>
      <c r="L56">
        <v>85.8</v>
      </c>
      <c r="M56">
        <v>1</v>
      </c>
      <c r="N56">
        <v>1</v>
      </c>
      <c r="O56">
        <v>7244</v>
      </c>
      <c r="P56">
        <v>2</v>
      </c>
      <c r="Q56">
        <v>95</v>
      </c>
      <c r="R56">
        <v>97</v>
      </c>
      <c r="S56" t="s">
        <v>41</v>
      </c>
      <c r="T56" t="s">
        <v>28</v>
      </c>
      <c r="U56" s="1">
        <f t="shared" si="0"/>
        <v>0.85849056603773588</v>
      </c>
      <c r="V56" s="1">
        <f t="shared" si="1"/>
        <v>9.433962264150943E-3</v>
      </c>
      <c r="W56" s="2">
        <f t="shared" si="2"/>
        <v>9.433962264150943E-3</v>
      </c>
      <c r="X56" s="2">
        <f t="shared" si="3"/>
        <v>68.339622641509436</v>
      </c>
      <c r="Y56" s="2">
        <f t="shared" si="4"/>
        <v>1.0210526315789474</v>
      </c>
      <c r="Z56" s="2">
        <f t="shared" si="5"/>
        <v>0.5714285714285714</v>
      </c>
    </row>
    <row r="57" spans="1:26">
      <c r="A57" t="s">
        <v>172</v>
      </c>
      <c r="B57" t="s">
        <v>58</v>
      </c>
      <c r="C57" t="s">
        <v>59</v>
      </c>
      <c r="D57" t="s">
        <v>32</v>
      </c>
      <c r="E57" t="s">
        <v>171</v>
      </c>
      <c r="F57" t="s">
        <v>173</v>
      </c>
      <c r="G57">
        <v>6</v>
      </c>
      <c r="H57">
        <v>4</v>
      </c>
      <c r="I57" t="s">
        <v>62</v>
      </c>
      <c r="J57">
        <v>122</v>
      </c>
      <c r="K57">
        <v>108</v>
      </c>
      <c r="L57">
        <v>88.5</v>
      </c>
      <c r="M57">
        <v>7</v>
      </c>
      <c r="N57">
        <v>3</v>
      </c>
      <c r="O57">
        <v>4038</v>
      </c>
      <c r="P57">
        <v>2</v>
      </c>
      <c r="Q57">
        <v>95</v>
      </c>
      <c r="R57">
        <v>92</v>
      </c>
      <c r="S57" t="s">
        <v>41</v>
      </c>
      <c r="T57" t="s">
        <v>35</v>
      </c>
      <c r="U57" s="1">
        <f t="shared" si="0"/>
        <v>0.88524590163934425</v>
      </c>
      <c r="V57" s="1">
        <f t="shared" si="1"/>
        <v>5.737704918032787E-2</v>
      </c>
      <c r="W57" s="2">
        <f t="shared" si="2"/>
        <v>2.4590163934426229E-2</v>
      </c>
      <c r="X57" s="2">
        <f t="shared" si="3"/>
        <v>33.098360655737707</v>
      </c>
      <c r="Y57" s="2">
        <f t="shared" si="4"/>
        <v>0.96842105263157896</v>
      </c>
      <c r="Z57" s="2">
        <f t="shared" si="5"/>
        <v>0.66666666666666663</v>
      </c>
    </row>
    <row r="58" spans="1:26">
      <c r="A58" t="s">
        <v>174</v>
      </c>
      <c r="B58" t="s">
        <v>65</v>
      </c>
      <c r="C58" t="s">
        <v>45</v>
      </c>
      <c r="D58" t="s">
        <v>38</v>
      </c>
      <c r="E58" t="s">
        <v>173</v>
      </c>
      <c r="F58" t="s">
        <v>175</v>
      </c>
      <c r="G58">
        <v>8</v>
      </c>
      <c r="H58">
        <v>8</v>
      </c>
      <c r="I58" t="s">
        <v>67</v>
      </c>
      <c r="J58">
        <v>72</v>
      </c>
      <c r="K58">
        <v>67</v>
      </c>
      <c r="L58">
        <v>93.1</v>
      </c>
      <c r="M58">
        <v>4</v>
      </c>
      <c r="N58">
        <v>1</v>
      </c>
      <c r="O58">
        <v>5357</v>
      </c>
      <c r="P58">
        <v>4</v>
      </c>
      <c r="Q58">
        <v>95</v>
      </c>
      <c r="R58">
        <v>94</v>
      </c>
      <c r="S58" t="s">
        <v>41</v>
      </c>
      <c r="T58" t="s">
        <v>42</v>
      </c>
      <c r="U58" s="1">
        <f t="shared" si="0"/>
        <v>0.93055555555555558</v>
      </c>
      <c r="V58" s="1">
        <f t="shared" si="1"/>
        <v>5.5555555555555552E-2</v>
      </c>
      <c r="W58" s="2">
        <f t="shared" si="2"/>
        <v>1.3888888888888888E-2</v>
      </c>
      <c r="X58" s="2">
        <f t="shared" si="3"/>
        <v>74.402777777777771</v>
      </c>
      <c r="Y58" s="2">
        <f t="shared" si="4"/>
        <v>0.98947368421052628</v>
      </c>
      <c r="Z58" s="2">
        <f t="shared" si="5"/>
        <v>1</v>
      </c>
    </row>
    <row r="59" spans="1:26">
      <c r="A59" t="s">
        <v>176</v>
      </c>
      <c r="B59" t="s">
        <v>69</v>
      </c>
      <c r="C59" t="s">
        <v>70</v>
      </c>
      <c r="D59" t="s">
        <v>46</v>
      </c>
      <c r="E59" t="s">
        <v>175</v>
      </c>
      <c r="F59" t="s">
        <v>177</v>
      </c>
      <c r="G59">
        <v>10</v>
      </c>
      <c r="H59">
        <v>8</v>
      </c>
      <c r="I59" t="s">
        <v>72</v>
      </c>
      <c r="J59">
        <v>108</v>
      </c>
      <c r="K59">
        <v>94</v>
      </c>
      <c r="L59">
        <v>87</v>
      </c>
      <c r="M59">
        <v>6</v>
      </c>
      <c r="N59">
        <v>1</v>
      </c>
      <c r="O59">
        <v>5581</v>
      </c>
      <c r="P59">
        <v>7</v>
      </c>
      <c r="Q59">
        <v>95</v>
      </c>
      <c r="R59">
        <v>92</v>
      </c>
      <c r="S59" t="s">
        <v>41</v>
      </c>
      <c r="T59" t="s">
        <v>49</v>
      </c>
      <c r="U59" s="1">
        <f t="shared" si="0"/>
        <v>0.87037037037037035</v>
      </c>
      <c r="V59" s="1">
        <f t="shared" si="1"/>
        <v>5.5555555555555552E-2</v>
      </c>
      <c r="W59" s="2">
        <f t="shared" si="2"/>
        <v>9.2592592592592587E-3</v>
      </c>
      <c r="X59" s="2">
        <f t="shared" si="3"/>
        <v>51.675925925925924</v>
      </c>
      <c r="Y59" s="2">
        <f t="shared" si="4"/>
        <v>0.96842105263157896</v>
      </c>
      <c r="Z59" s="2">
        <f t="shared" si="5"/>
        <v>0.8</v>
      </c>
    </row>
    <row r="60" spans="1:26">
      <c r="A60" t="s">
        <v>178</v>
      </c>
      <c r="B60" t="s">
        <v>74</v>
      </c>
      <c r="C60" t="s">
        <v>75</v>
      </c>
      <c r="D60" t="s">
        <v>53</v>
      </c>
      <c r="E60" t="s">
        <v>177</v>
      </c>
      <c r="F60" t="s">
        <v>179</v>
      </c>
      <c r="G60">
        <v>7</v>
      </c>
      <c r="H60">
        <v>7</v>
      </c>
      <c r="I60" t="s">
        <v>77</v>
      </c>
      <c r="J60">
        <v>103</v>
      </c>
      <c r="K60">
        <v>88</v>
      </c>
      <c r="L60">
        <v>85.4</v>
      </c>
      <c r="M60">
        <v>1</v>
      </c>
      <c r="N60">
        <v>3</v>
      </c>
      <c r="O60">
        <v>5564</v>
      </c>
      <c r="P60">
        <v>1</v>
      </c>
      <c r="Q60">
        <v>95</v>
      </c>
      <c r="R60">
        <v>87</v>
      </c>
      <c r="S60" t="s">
        <v>27</v>
      </c>
      <c r="T60" t="s">
        <v>56</v>
      </c>
      <c r="U60" s="1">
        <f t="shared" si="0"/>
        <v>0.85436893203883491</v>
      </c>
      <c r="V60" s="1">
        <f t="shared" si="1"/>
        <v>9.7087378640776691E-3</v>
      </c>
      <c r="W60" s="2">
        <f t="shared" si="2"/>
        <v>2.9126213592233011E-2</v>
      </c>
      <c r="X60" s="2">
        <f t="shared" si="3"/>
        <v>54.019417475728154</v>
      </c>
      <c r="Y60" s="2">
        <f t="shared" si="4"/>
        <v>0.91578947368421049</v>
      </c>
      <c r="Z60" s="2">
        <f t="shared" si="5"/>
        <v>1</v>
      </c>
    </row>
    <row r="61" spans="1:26">
      <c r="A61" t="s">
        <v>180</v>
      </c>
      <c r="B61" t="s">
        <v>79</v>
      </c>
      <c r="C61" t="s">
        <v>52</v>
      </c>
      <c r="D61" t="s">
        <v>60</v>
      </c>
      <c r="E61" t="s">
        <v>179</v>
      </c>
      <c r="F61" t="s">
        <v>181</v>
      </c>
      <c r="G61">
        <v>12</v>
      </c>
      <c r="H61">
        <v>8</v>
      </c>
      <c r="I61" t="s">
        <v>81</v>
      </c>
      <c r="J61">
        <v>133</v>
      </c>
      <c r="K61">
        <v>117</v>
      </c>
      <c r="L61">
        <v>88</v>
      </c>
      <c r="M61">
        <v>2</v>
      </c>
      <c r="N61">
        <v>2</v>
      </c>
      <c r="O61">
        <v>3842</v>
      </c>
      <c r="P61">
        <v>7</v>
      </c>
      <c r="Q61">
        <v>95</v>
      </c>
      <c r="R61">
        <v>84</v>
      </c>
      <c r="S61" t="s">
        <v>27</v>
      </c>
      <c r="T61" t="s">
        <v>63</v>
      </c>
      <c r="U61" s="1">
        <f t="shared" si="0"/>
        <v>0.87969924812030076</v>
      </c>
      <c r="V61" s="1">
        <f t="shared" si="1"/>
        <v>1.5037593984962405E-2</v>
      </c>
      <c r="W61" s="2">
        <f t="shared" si="2"/>
        <v>1.5037593984962405E-2</v>
      </c>
      <c r="X61" s="2">
        <f t="shared" si="3"/>
        <v>28.887218045112782</v>
      </c>
      <c r="Y61" s="2">
        <f t="shared" si="4"/>
        <v>0.88421052631578945</v>
      </c>
      <c r="Z61" s="2">
        <f t="shared" si="5"/>
        <v>0.66666666666666663</v>
      </c>
    </row>
    <row r="62" spans="1:26">
      <c r="A62" t="s">
        <v>182</v>
      </c>
      <c r="B62" t="s">
        <v>21</v>
      </c>
      <c r="C62" t="s">
        <v>22</v>
      </c>
      <c r="D62" t="s">
        <v>23</v>
      </c>
      <c r="E62" t="s">
        <v>181</v>
      </c>
      <c r="F62" t="s">
        <v>183</v>
      </c>
      <c r="G62">
        <v>8</v>
      </c>
      <c r="H62">
        <v>7</v>
      </c>
      <c r="I62" t="s">
        <v>26</v>
      </c>
      <c r="J62">
        <v>98</v>
      </c>
      <c r="K62">
        <v>90</v>
      </c>
      <c r="L62">
        <v>91.8</v>
      </c>
      <c r="M62">
        <v>1</v>
      </c>
      <c r="N62">
        <v>4</v>
      </c>
      <c r="O62">
        <v>6043</v>
      </c>
      <c r="P62">
        <v>3</v>
      </c>
      <c r="Q62">
        <v>95</v>
      </c>
      <c r="R62">
        <v>91</v>
      </c>
      <c r="S62" t="s">
        <v>27</v>
      </c>
      <c r="T62" t="s">
        <v>28</v>
      </c>
      <c r="U62" s="1">
        <f t="shared" si="0"/>
        <v>0.91836734693877553</v>
      </c>
      <c r="V62" s="1">
        <f t="shared" si="1"/>
        <v>1.020408163265306E-2</v>
      </c>
      <c r="W62" s="2">
        <f t="shared" si="2"/>
        <v>4.0816326530612242E-2</v>
      </c>
      <c r="X62" s="2">
        <f t="shared" si="3"/>
        <v>61.663265306122447</v>
      </c>
      <c r="Y62" s="2">
        <f t="shared" si="4"/>
        <v>0.95789473684210524</v>
      </c>
      <c r="Z62" s="2">
        <f t="shared" si="5"/>
        <v>0.875</v>
      </c>
    </row>
    <row r="63" spans="1:26">
      <c r="A63" t="s">
        <v>184</v>
      </c>
      <c r="B63" t="s">
        <v>30</v>
      </c>
      <c r="C63" t="s">
        <v>31</v>
      </c>
      <c r="D63" t="s">
        <v>32</v>
      </c>
      <c r="E63" t="s">
        <v>183</v>
      </c>
      <c r="F63" t="s">
        <v>185</v>
      </c>
      <c r="G63">
        <v>11</v>
      </c>
      <c r="H63">
        <v>6</v>
      </c>
      <c r="I63" t="s">
        <v>34</v>
      </c>
      <c r="J63">
        <v>119</v>
      </c>
      <c r="K63">
        <v>113</v>
      </c>
      <c r="L63">
        <v>95</v>
      </c>
      <c r="M63">
        <v>6</v>
      </c>
      <c r="N63">
        <v>5</v>
      </c>
      <c r="O63">
        <v>6357</v>
      </c>
      <c r="P63">
        <v>2</v>
      </c>
      <c r="Q63">
        <v>95</v>
      </c>
      <c r="R63">
        <v>84</v>
      </c>
      <c r="S63" t="s">
        <v>27</v>
      </c>
      <c r="T63" t="s">
        <v>35</v>
      </c>
      <c r="U63" s="1">
        <f t="shared" si="0"/>
        <v>0.94957983193277307</v>
      </c>
      <c r="V63" s="1">
        <f t="shared" si="1"/>
        <v>5.0420168067226892E-2</v>
      </c>
      <c r="W63" s="2">
        <f t="shared" si="2"/>
        <v>4.2016806722689079E-2</v>
      </c>
      <c r="X63" s="2">
        <f t="shared" si="3"/>
        <v>53.420168067226889</v>
      </c>
      <c r="Y63" s="2">
        <f t="shared" si="4"/>
        <v>0.88421052631578945</v>
      </c>
      <c r="Z63" s="2">
        <f t="shared" si="5"/>
        <v>0.54545454545454541</v>
      </c>
    </row>
    <row r="64" spans="1:26">
      <c r="A64" t="s">
        <v>186</v>
      </c>
      <c r="B64" t="s">
        <v>37</v>
      </c>
      <c r="C64" t="s">
        <v>22</v>
      </c>
      <c r="D64" t="s">
        <v>38</v>
      </c>
      <c r="E64" t="s">
        <v>185</v>
      </c>
      <c r="F64" t="s">
        <v>187</v>
      </c>
      <c r="G64">
        <v>4</v>
      </c>
      <c r="H64">
        <v>4</v>
      </c>
      <c r="I64" t="s">
        <v>40</v>
      </c>
      <c r="J64">
        <v>156</v>
      </c>
      <c r="K64">
        <v>152</v>
      </c>
      <c r="L64">
        <v>97.4</v>
      </c>
      <c r="M64">
        <v>3</v>
      </c>
      <c r="N64">
        <v>1</v>
      </c>
      <c r="O64">
        <v>3997</v>
      </c>
      <c r="P64">
        <v>2</v>
      </c>
      <c r="Q64">
        <v>95</v>
      </c>
      <c r="R64">
        <v>88</v>
      </c>
      <c r="S64" t="s">
        <v>27</v>
      </c>
      <c r="T64" t="s">
        <v>42</v>
      </c>
      <c r="U64" s="1">
        <f t="shared" si="0"/>
        <v>0.97435897435897434</v>
      </c>
      <c r="V64" s="1">
        <f t="shared" si="1"/>
        <v>1.9230769230769232E-2</v>
      </c>
      <c r="W64" s="2">
        <f t="shared" si="2"/>
        <v>6.41025641025641E-3</v>
      </c>
      <c r="X64" s="2">
        <f t="shared" si="3"/>
        <v>25.621794871794872</v>
      </c>
      <c r="Y64" s="2">
        <f t="shared" si="4"/>
        <v>0.9263157894736842</v>
      </c>
      <c r="Z64" s="2">
        <f t="shared" si="5"/>
        <v>1</v>
      </c>
    </row>
    <row r="65" spans="1:26">
      <c r="A65" t="s">
        <v>188</v>
      </c>
      <c r="B65" t="s">
        <v>44</v>
      </c>
      <c r="C65" t="s">
        <v>45</v>
      </c>
      <c r="D65" t="s">
        <v>46</v>
      </c>
      <c r="E65" t="s">
        <v>187</v>
      </c>
      <c r="F65" t="s">
        <v>189</v>
      </c>
      <c r="G65">
        <v>8</v>
      </c>
      <c r="H65">
        <v>5</v>
      </c>
      <c r="I65" t="s">
        <v>48</v>
      </c>
      <c r="J65">
        <v>149</v>
      </c>
      <c r="K65">
        <v>141</v>
      </c>
      <c r="L65">
        <v>94.6</v>
      </c>
      <c r="M65">
        <v>3</v>
      </c>
      <c r="N65">
        <v>5</v>
      </c>
      <c r="O65">
        <v>5085</v>
      </c>
      <c r="P65">
        <v>5</v>
      </c>
      <c r="Q65">
        <v>95</v>
      </c>
      <c r="R65">
        <v>91</v>
      </c>
      <c r="S65" t="s">
        <v>27</v>
      </c>
      <c r="T65" t="s">
        <v>49</v>
      </c>
      <c r="U65" s="1">
        <f t="shared" si="0"/>
        <v>0.94630872483221473</v>
      </c>
      <c r="V65" s="1">
        <f t="shared" si="1"/>
        <v>2.0134228187919462E-2</v>
      </c>
      <c r="W65" s="2">
        <f t="shared" si="2"/>
        <v>3.3557046979865772E-2</v>
      </c>
      <c r="X65" s="2">
        <f t="shared" si="3"/>
        <v>34.127516778523493</v>
      </c>
      <c r="Y65" s="2">
        <f t="shared" si="4"/>
        <v>0.95789473684210524</v>
      </c>
      <c r="Z65" s="2">
        <f t="shared" si="5"/>
        <v>0.625</v>
      </c>
    </row>
    <row r="66" spans="1:26">
      <c r="A66" t="s">
        <v>190</v>
      </c>
      <c r="B66" t="s">
        <v>51</v>
      </c>
      <c r="C66" t="s">
        <v>52</v>
      </c>
      <c r="D66" t="s">
        <v>53</v>
      </c>
      <c r="E66" t="s">
        <v>189</v>
      </c>
      <c r="F66" t="s">
        <v>191</v>
      </c>
      <c r="G66">
        <v>10</v>
      </c>
      <c r="H66">
        <v>6</v>
      </c>
      <c r="I66" t="s">
        <v>55</v>
      </c>
      <c r="J66">
        <v>124</v>
      </c>
      <c r="K66">
        <v>122</v>
      </c>
      <c r="L66">
        <v>98.4</v>
      </c>
      <c r="M66">
        <v>5</v>
      </c>
      <c r="N66">
        <v>4</v>
      </c>
      <c r="O66">
        <v>4188</v>
      </c>
      <c r="P66">
        <v>4</v>
      </c>
      <c r="Q66">
        <v>95</v>
      </c>
      <c r="R66">
        <v>92</v>
      </c>
      <c r="S66" t="s">
        <v>41</v>
      </c>
      <c r="T66" t="s">
        <v>56</v>
      </c>
      <c r="U66" s="1">
        <f t="shared" si="0"/>
        <v>0.9838709677419355</v>
      </c>
      <c r="V66" s="1">
        <f t="shared" si="1"/>
        <v>4.0322580645161289E-2</v>
      </c>
      <c r="W66" s="2">
        <f t="shared" si="2"/>
        <v>3.2258064516129031E-2</v>
      </c>
      <c r="X66" s="2">
        <f t="shared" si="3"/>
        <v>33.774193548387096</v>
      </c>
      <c r="Y66" s="2">
        <f t="shared" si="4"/>
        <v>0.96842105263157896</v>
      </c>
      <c r="Z66" s="2">
        <f t="shared" si="5"/>
        <v>0.6</v>
      </c>
    </row>
    <row r="67" spans="1:26">
      <c r="A67" t="s">
        <v>192</v>
      </c>
      <c r="B67" t="s">
        <v>58</v>
      </c>
      <c r="C67" t="s">
        <v>59</v>
      </c>
      <c r="D67" t="s">
        <v>60</v>
      </c>
      <c r="E67" t="s">
        <v>191</v>
      </c>
      <c r="F67" t="s">
        <v>193</v>
      </c>
      <c r="G67">
        <v>7</v>
      </c>
      <c r="H67">
        <v>6</v>
      </c>
      <c r="I67" t="s">
        <v>62</v>
      </c>
      <c r="J67">
        <v>87</v>
      </c>
      <c r="K67">
        <v>75</v>
      </c>
      <c r="L67">
        <v>86.2</v>
      </c>
      <c r="M67">
        <v>6</v>
      </c>
      <c r="N67">
        <v>5</v>
      </c>
      <c r="O67">
        <v>7314</v>
      </c>
      <c r="P67">
        <v>2</v>
      </c>
      <c r="Q67">
        <v>95</v>
      </c>
      <c r="R67">
        <v>85</v>
      </c>
      <c r="S67" t="s">
        <v>27</v>
      </c>
      <c r="T67" t="s">
        <v>63</v>
      </c>
      <c r="U67" s="1">
        <f t="shared" ref="U67:U101" si="6">K67/J67</f>
        <v>0.86206896551724133</v>
      </c>
      <c r="V67" s="1">
        <f t="shared" ref="V67:V101" si="7">M67/J67</f>
        <v>6.8965517241379309E-2</v>
      </c>
      <c r="W67" s="2">
        <f t="shared" ref="W67:W101" si="8">N67/J67</f>
        <v>5.7471264367816091E-2</v>
      </c>
      <c r="X67" s="2">
        <f t="shared" ref="X67:X101" si="9">O67/J67</f>
        <v>84.068965517241381</v>
      </c>
      <c r="Y67" s="2">
        <f t="shared" ref="Y67:Y101" si="10">R67/Q67</f>
        <v>0.89473684210526316</v>
      </c>
      <c r="Z67" s="2">
        <f t="shared" ref="Z67:Z101" si="11">H67/G67</f>
        <v>0.8571428571428571</v>
      </c>
    </row>
    <row r="68" spans="1:26">
      <c r="A68" t="s">
        <v>194</v>
      </c>
      <c r="B68" t="s">
        <v>65</v>
      </c>
      <c r="C68" t="s">
        <v>45</v>
      </c>
      <c r="D68" t="s">
        <v>23</v>
      </c>
      <c r="E68" t="s">
        <v>193</v>
      </c>
      <c r="F68" t="s">
        <v>195</v>
      </c>
      <c r="G68">
        <v>11</v>
      </c>
      <c r="H68">
        <v>8</v>
      </c>
      <c r="I68" t="s">
        <v>67</v>
      </c>
      <c r="J68">
        <v>145</v>
      </c>
      <c r="K68">
        <v>132</v>
      </c>
      <c r="L68">
        <v>91</v>
      </c>
      <c r="M68">
        <v>7</v>
      </c>
      <c r="N68">
        <v>1</v>
      </c>
      <c r="O68">
        <v>6437</v>
      </c>
      <c r="P68">
        <v>6</v>
      </c>
      <c r="Q68">
        <v>95</v>
      </c>
      <c r="R68">
        <v>92</v>
      </c>
      <c r="S68" t="s">
        <v>41</v>
      </c>
      <c r="T68" t="s">
        <v>28</v>
      </c>
      <c r="U68" s="1">
        <f t="shared" si="6"/>
        <v>0.91034482758620694</v>
      </c>
      <c r="V68" s="1">
        <f t="shared" si="7"/>
        <v>4.8275862068965517E-2</v>
      </c>
      <c r="W68" s="2">
        <f t="shared" si="8"/>
        <v>6.8965517241379309E-3</v>
      </c>
      <c r="X68" s="2">
        <f t="shared" si="9"/>
        <v>44.393103448275859</v>
      </c>
      <c r="Y68" s="2">
        <f t="shared" si="10"/>
        <v>0.96842105263157896</v>
      </c>
      <c r="Z68" s="2">
        <f t="shared" si="11"/>
        <v>0.72727272727272729</v>
      </c>
    </row>
    <row r="69" spans="1:26">
      <c r="A69" t="s">
        <v>196</v>
      </c>
      <c r="B69" t="s">
        <v>69</v>
      </c>
      <c r="C69" t="s">
        <v>70</v>
      </c>
      <c r="D69" t="s">
        <v>32</v>
      </c>
      <c r="E69" t="s">
        <v>195</v>
      </c>
      <c r="F69" t="s">
        <v>197</v>
      </c>
      <c r="G69">
        <v>10</v>
      </c>
      <c r="H69">
        <v>8</v>
      </c>
      <c r="I69" t="s">
        <v>72</v>
      </c>
      <c r="J69">
        <v>103</v>
      </c>
      <c r="K69">
        <v>88</v>
      </c>
      <c r="L69">
        <v>85.4</v>
      </c>
      <c r="M69">
        <v>7</v>
      </c>
      <c r="N69">
        <v>3</v>
      </c>
      <c r="O69">
        <v>7381</v>
      </c>
      <c r="P69">
        <v>1</v>
      </c>
      <c r="Q69">
        <v>95</v>
      </c>
      <c r="R69">
        <v>85</v>
      </c>
      <c r="S69" t="s">
        <v>27</v>
      </c>
      <c r="T69" t="s">
        <v>35</v>
      </c>
      <c r="U69" s="1">
        <f t="shared" si="6"/>
        <v>0.85436893203883491</v>
      </c>
      <c r="V69" s="1">
        <f t="shared" si="7"/>
        <v>6.7961165048543687E-2</v>
      </c>
      <c r="W69" s="2">
        <f t="shared" si="8"/>
        <v>2.9126213592233011E-2</v>
      </c>
      <c r="X69" s="2">
        <f t="shared" si="9"/>
        <v>71.660194174757279</v>
      </c>
      <c r="Y69" s="2">
        <f t="shared" si="10"/>
        <v>0.89473684210526316</v>
      </c>
      <c r="Z69" s="2">
        <f t="shared" si="11"/>
        <v>0.8</v>
      </c>
    </row>
    <row r="70" spans="1:26">
      <c r="A70" t="s">
        <v>198</v>
      </c>
      <c r="B70" t="s">
        <v>74</v>
      </c>
      <c r="C70" t="s">
        <v>75</v>
      </c>
      <c r="D70" t="s">
        <v>38</v>
      </c>
      <c r="E70" t="s">
        <v>197</v>
      </c>
      <c r="F70" t="s">
        <v>199</v>
      </c>
      <c r="G70">
        <v>6</v>
      </c>
      <c r="H70">
        <v>4</v>
      </c>
      <c r="I70" t="s">
        <v>77</v>
      </c>
      <c r="J70">
        <v>101</v>
      </c>
      <c r="K70">
        <v>95</v>
      </c>
      <c r="L70">
        <v>94.1</v>
      </c>
      <c r="M70">
        <v>6</v>
      </c>
      <c r="N70">
        <v>3</v>
      </c>
      <c r="O70">
        <v>7178</v>
      </c>
      <c r="P70">
        <v>7</v>
      </c>
      <c r="Q70">
        <v>95</v>
      </c>
      <c r="R70">
        <v>92</v>
      </c>
      <c r="S70" t="s">
        <v>41</v>
      </c>
      <c r="T70" t="s">
        <v>42</v>
      </c>
      <c r="U70" s="1">
        <f t="shared" si="6"/>
        <v>0.94059405940594054</v>
      </c>
      <c r="V70" s="1">
        <f t="shared" si="7"/>
        <v>5.9405940594059403E-2</v>
      </c>
      <c r="W70" s="2">
        <f t="shared" si="8"/>
        <v>2.9702970297029702E-2</v>
      </c>
      <c r="X70" s="2">
        <f t="shared" si="9"/>
        <v>71.069306930693074</v>
      </c>
      <c r="Y70" s="2">
        <f t="shared" si="10"/>
        <v>0.96842105263157896</v>
      </c>
      <c r="Z70" s="2">
        <f t="shared" si="11"/>
        <v>0.66666666666666663</v>
      </c>
    </row>
    <row r="71" spans="1:26">
      <c r="A71" t="s">
        <v>200</v>
      </c>
      <c r="B71" t="s">
        <v>79</v>
      </c>
      <c r="C71" t="s">
        <v>52</v>
      </c>
      <c r="D71" t="s">
        <v>46</v>
      </c>
      <c r="E71" t="s">
        <v>199</v>
      </c>
      <c r="F71" t="s">
        <v>201</v>
      </c>
      <c r="G71">
        <v>5</v>
      </c>
      <c r="H71">
        <v>4</v>
      </c>
      <c r="I71" t="s">
        <v>81</v>
      </c>
      <c r="J71">
        <v>123</v>
      </c>
      <c r="K71">
        <v>120</v>
      </c>
      <c r="L71">
        <v>97.6</v>
      </c>
      <c r="M71">
        <v>4</v>
      </c>
      <c r="N71">
        <v>2</v>
      </c>
      <c r="O71">
        <v>6515</v>
      </c>
      <c r="P71">
        <v>2</v>
      </c>
      <c r="Q71">
        <v>95</v>
      </c>
      <c r="R71">
        <v>95</v>
      </c>
      <c r="S71" t="s">
        <v>41</v>
      </c>
      <c r="T71" t="s">
        <v>49</v>
      </c>
      <c r="U71" s="1">
        <f t="shared" si="6"/>
        <v>0.97560975609756095</v>
      </c>
      <c r="V71" s="1">
        <f t="shared" si="7"/>
        <v>3.2520325203252036E-2</v>
      </c>
      <c r="W71" s="2">
        <f t="shared" si="8"/>
        <v>1.6260162601626018E-2</v>
      </c>
      <c r="X71" s="2">
        <f t="shared" si="9"/>
        <v>52.967479674796749</v>
      </c>
      <c r="Y71" s="2">
        <f t="shared" si="10"/>
        <v>1</v>
      </c>
      <c r="Z71" s="2">
        <f t="shared" si="11"/>
        <v>0.8</v>
      </c>
    </row>
    <row r="72" spans="1:26">
      <c r="A72" t="s">
        <v>202</v>
      </c>
      <c r="B72" t="s">
        <v>21</v>
      </c>
      <c r="C72" t="s">
        <v>22</v>
      </c>
      <c r="D72" t="s">
        <v>53</v>
      </c>
      <c r="E72" t="s">
        <v>201</v>
      </c>
      <c r="F72" t="s">
        <v>203</v>
      </c>
      <c r="G72">
        <v>10</v>
      </c>
      <c r="H72">
        <v>7</v>
      </c>
      <c r="I72" t="s">
        <v>26</v>
      </c>
      <c r="J72">
        <v>123</v>
      </c>
      <c r="K72">
        <v>117</v>
      </c>
      <c r="L72">
        <v>95.1</v>
      </c>
      <c r="M72">
        <v>8</v>
      </c>
      <c r="N72">
        <v>3</v>
      </c>
      <c r="O72">
        <v>3819</v>
      </c>
      <c r="P72">
        <v>8</v>
      </c>
      <c r="Q72">
        <v>95</v>
      </c>
      <c r="R72">
        <v>85</v>
      </c>
      <c r="S72" t="s">
        <v>27</v>
      </c>
      <c r="T72" t="s">
        <v>56</v>
      </c>
      <c r="U72" s="1">
        <f t="shared" si="6"/>
        <v>0.95121951219512191</v>
      </c>
      <c r="V72" s="1">
        <f t="shared" si="7"/>
        <v>6.5040650406504072E-2</v>
      </c>
      <c r="W72" s="2">
        <f t="shared" si="8"/>
        <v>2.4390243902439025E-2</v>
      </c>
      <c r="X72" s="2">
        <f t="shared" si="9"/>
        <v>31.048780487804876</v>
      </c>
      <c r="Y72" s="2">
        <f t="shared" si="10"/>
        <v>0.89473684210526316</v>
      </c>
      <c r="Z72" s="2">
        <f t="shared" si="11"/>
        <v>0.7</v>
      </c>
    </row>
    <row r="73" spans="1:26">
      <c r="A73" t="s">
        <v>204</v>
      </c>
      <c r="B73" t="s">
        <v>30</v>
      </c>
      <c r="C73" t="s">
        <v>31</v>
      </c>
      <c r="D73" t="s">
        <v>60</v>
      </c>
      <c r="E73" t="s">
        <v>203</v>
      </c>
      <c r="F73" t="s">
        <v>205</v>
      </c>
      <c r="G73">
        <v>12</v>
      </c>
      <c r="H73">
        <v>7</v>
      </c>
      <c r="I73" t="s">
        <v>34</v>
      </c>
      <c r="J73">
        <v>120</v>
      </c>
      <c r="K73">
        <v>105</v>
      </c>
      <c r="L73">
        <v>87.5</v>
      </c>
      <c r="M73">
        <v>3</v>
      </c>
      <c r="N73">
        <v>4</v>
      </c>
      <c r="O73">
        <v>4069</v>
      </c>
      <c r="P73">
        <v>1</v>
      </c>
      <c r="Q73">
        <v>95</v>
      </c>
      <c r="R73">
        <v>99</v>
      </c>
      <c r="S73" t="s">
        <v>41</v>
      </c>
      <c r="T73" t="s">
        <v>63</v>
      </c>
      <c r="U73" s="1">
        <f t="shared" si="6"/>
        <v>0.875</v>
      </c>
      <c r="V73" s="1">
        <f t="shared" si="7"/>
        <v>2.5000000000000001E-2</v>
      </c>
      <c r="W73" s="2">
        <f t="shared" si="8"/>
        <v>3.3333333333333333E-2</v>
      </c>
      <c r="X73" s="2">
        <f t="shared" si="9"/>
        <v>33.908333333333331</v>
      </c>
      <c r="Y73" s="2">
        <f t="shared" si="10"/>
        <v>1.0421052631578946</v>
      </c>
      <c r="Z73" s="2">
        <f t="shared" si="11"/>
        <v>0.58333333333333337</v>
      </c>
    </row>
    <row r="74" spans="1:26">
      <c r="A74" t="s">
        <v>206</v>
      </c>
      <c r="B74" t="s">
        <v>37</v>
      </c>
      <c r="C74" t="s">
        <v>22</v>
      </c>
      <c r="D74" t="s">
        <v>23</v>
      </c>
      <c r="E74" t="s">
        <v>205</v>
      </c>
      <c r="F74" t="s">
        <v>207</v>
      </c>
      <c r="G74">
        <v>9</v>
      </c>
      <c r="H74">
        <v>4</v>
      </c>
      <c r="I74" t="s">
        <v>40</v>
      </c>
      <c r="J74">
        <v>115</v>
      </c>
      <c r="K74">
        <v>106</v>
      </c>
      <c r="L74">
        <v>92.2</v>
      </c>
      <c r="M74">
        <v>1</v>
      </c>
      <c r="N74">
        <v>3</v>
      </c>
      <c r="O74">
        <v>6938</v>
      </c>
      <c r="P74">
        <v>7</v>
      </c>
      <c r="Q74">
        <v>95</v>
      </c>
      <c r="R74">
        <v>94</v>
      </c>
      <c r="S74" t="s">
        <v>41</v>
      </c>
      <c r="T74" t="s">
        <v>28</v>
      </c>
      <c r="U74" s="1">
        <f t="shared" si="6"/>
        <v>0.92173913043478262</v>
      </c>
      <c r="V74" s="1">
        <f t="shared" si="7"/>
        <v>8.6956521739130436E-3</v>
      </c>
      <c r="W74" s="2">
        <f t="shared" si="8"/>
        <v>2.6086956521739129E-2</v>
      </c>
      <c r="X74" s="2">
        <f t="shared" si="9"/>
        <v>60.330434782608698</v>
      </c>
      <c r="Y74" s="2">
        <f t="shared" si="10"/>
        <v>0.98947368421052628</v>
      </c>
      <c r="Z74" s="2">
        <f t="shared" si="11"/>
        <v>0.44444444444444442</v>
      </c>
    </row>
    <row r="75" spans="1:26">
      <c r="A75" t="s">
        <v>208</v>
      </c>
      <c r="B75" t="s">
        <v>44</v>
      </c>
      <c r="C75" t="s">
        <v>45</v>
      </c>
      <c r="D75" t="s">
        <v>32</v>
      </c>
      <c r="E75" t="s">
        <v>207</v>
      </c>
      <c r="F75" t="s">
        <v>209</v>
      </c>
      <c r="G75">
        <v>6</v>
      </c>
      <c r="H75">
        <v>4</v>
      </c>
      <c r="I75" t="s">
        <v>48</v>
      </c>
      <c r="J75">
        <v>139</v>
      </c>
      <c r="K75">
        <v>124</v>
      </c>
      <c r="L75">
        <v>89.2</v>
      </c>
      <c r="M75">
        <v>7</v>
      </c>
      <c r="N75">
        <v>5</v>
      </c>
      <c r="O75">
        <v>5682</v>
      </c>
      <c r="P75">
        <v>4</v>
      </c>
      <c r="Q75">
        <v>95</v>
      </c>
      <c r="R75">
        <v>89</v>
      </c>
      <c r="S75" t="s">
        <v>27</v>
      </c>
      <c r="T75" t="s">
        <v>35</v>
      </c>
      <c r="U75" s="1">
        <f t="shared" si="6"/>
        <v>0.8920863309352518</v>
      </c>
      <c r="V75" s="1">
        <f t="shared" si="7"/>
        <v>5.0359712230215826E-2</v>
      </c>
      <c r="W75" s="2">
        <f t="shared" si="8"/>
        <v>3.5971223021582732E-2</v>
      </c>
      <c r="X75" s="2">
        <f t="shared" si="9"/>
        <v>40.877697841726622</v>
      </c>
      <c r="Y75" s="2">
        <f t="shared" si="10"/>
        <v>0.93684210526315792</v>
      </c>
      <c r="Z75" s="2">
        <f t="shared" si="11"/>
        <v>0.66666666666666663</v>
      </c>
    </row>
    <row r="76" spans="1:26">
      <c r="A76" t="s">
        <v>210</v>
      </c>
      <c r="B76" t="s">
        <v>51</v>
      </c>
      <c r="C76" t="s">
        <v>52</v>
      </c>
      <c r="D76" t="s">
        <v>38</v>
      </c>
      <c r="E76" t="s">
        <v>209</v>
      </c>
      <c r="F76" t="s">
        <v>211</v>
      </c>
      <c r="G76">
        <v>8</v>
      </c>
      <c r="H76">
        <v>6</v>
      </c>
      <c r="I76" t="s">
        <v>55</v>
      </c>
      <c r="J76">
        <v>83</v>
      </c>
      <c r="K76">
        <v>71</v>
      </c>
      <c r="L76">
        <v>85.5</v>
      </c>
      <c r="M76">
        <v>8</v>
      </c>
      <c r="N76">
        <v>2</v>
      </c>
      <c r="O76">
        <v>5848</v>
      </c>
      <c r="P76">
        <v>6</v>
      </c>
      <c r="Q76">
        <v>95</v>
      </c>
      <c r="R76">
        <v>93</v>
      </c>
      <c r="S76" t="s">
        <v>41</v>
      </c>
      <c r="T76" t="s">
        <v>42</v>
      </c>
      <c r="U76" s="1">
        <f t="shared" si="6"/>
        <v>0.85542168674698793</v>
      </c>
      <c r="V76" s="1">
        <f t="shared" si="7"/>
        <v>9.6385542168674704E-2</v>
      </c>
      <c r="W76" s="2">
        <f t="shared" si="8"/>
        <v>2.4096385542168676E-2</v>
      </c>
      <c r="X76" s="2">
        <f t="shared" si="9"/>
        <v>70.4578313253012</v>
      </c>
      <c r="Y76" s="2">
        <f t="shared" si="10"/>
        <v>0.97894736842105268</v>
      </c>
      <c r="Z76" s="2">
        <f t="shared" si="11"/>
        <v>0.75</v>
      </c>
    </row>
    <row r="77" spans="1:26">
      <c r="A77" t="s">
        <v>212</v>
      </c>
      <c r="B77" t="s">
        <v>58</v>
      </c>
      <c r="C77" t="s">
        <v>59</v>
      </c>
      <c r="D77" t="s">
        <v>46</v>
      </c>
      <c r="E77" t="s">
        <v>211</v>
      </c>
      <c r="F77" t="s">
        <v>213</v>
      </c>
      <c r="G77">
        <v>6</v>
      </c>
      <c r="H77">
        <v>4</v>
      </c>
      <c r="I77" t="s">
        <v>62</v>
      </c>
      <c r="J77">
        <v>133</v>
      </c>
      <c r="K77">
        <v>115</v>
      </c>
      <c r="L77">
        <v>86.5</v>
      </c>
      <c r="M77">
        <v>6</v>
      </c>
      <c r="N77">
        <v>5</v>
      </c>
      <c r="O77">
        <v>5058</v>
      </c>
      <c r="P77">
        <v>6</v>
      </c>
      <c r="Q77">
        <v>95</v>
      </c>
      <c r="R77">
        <v>93</v>
      </c>
      <c r="S77" t="s">
        <v>41</v>
      </c>
      <c r="T77" t="s">
        <v>49</v>
      </c>
      <c r="U77" s="1">
        <f t="shared" si="6"/>
        <v>0.86466165413533835</v>
      </c>
      <c r="V77" s="1">
        <f t="shared" si="7"/>
        <v>4.5112781954887216E-2</v>
      </c>
      <c r="W77" s="2">
        <f t="shared" si="8"/>
        <v>3.7593984962406013E-2</v>
      </c>
      <c r="X77" s="2">
        <f t="shared" si="9"/>
        <v>38.030075187969928</v>
      </c>
      <c r="Y77" s="2">
        <f t="shared" si="10"/>
        <v>0.97894736842105268</v>
      </c>
      <c r="Z77" s="2">
        <f t="shared" si="11"/>
        <v>0.66666666666666663</v>
      </c>
    </row>
    <row r="78" spans="1:26">
      <c r="A78" t="s">
        <v>214</v>
      </c>
      <c r="B78" t="s">
        <v>65</v>
      </c>
      <c r="C78" t="s">
        <v>45</v>
      </c>
      <c r="D78" t="s">
        <v>53</v>
      </c>
      <c r="E78" t="s">
        <v>213</v>
      </c>
      <c r="F78" t="s">
        <v>215</v>
      </c>
      <c r="G78">
        <v>5</v>
      </c>
      <c r="H78">
        <v>5</v>
      </c>
      <c r="I78" t="s">
        <v>67</v>
      </c>
      <c r="J78">
        <v>147</v>
      </c>
      <c r="K78">
        <v>145</v>
      </c>
      <c r="L78">
        <v>98.6</v>
      </c>
      <c r="M78">
        <v>4</v>
      </c>
      <c r="N78">
        <v>5</v>
      </c>
      <c r="O78">
        <v>5916</v>
      </c>
      <c r="P78">
        <v>5</v>
      </c>
      <c r="Q78">
        <v>95</v>
      </c>
      <c r="R78">
        <v>84</v>
      </c>
      <c r="S78" t="s">
        <v>27</v>
      </c>
      <c r="T78" t="s">
        <v>56</v>
      </c>
      <c r="U78" s="1">
        <f t="shared" si="6"/>
        <v>0.98639455782312924</v>
      </c>
      <c r="V78" s="1">
        <f t="shared" si="7"/>
        <v>2.7210884353741496E-2</v>
      </c>
      <c r="W78" s="2">
        <f t="shared" si="8"/>
        <v>3.4013605442176874E-2</v>
      </c>
      <c r="X78" s="2">
        <f t="shared" si="9"/>
        <v>40.244897959183675</v>
      </c>
      <c r="Y78" s="2">
        <f t="shared" si="10"/>
        <v>0.88421052631578945</v>
      </c>
      <c r="Z78" s="2">
        <f t="shared" si="11"/>
        <v>1</v>
      </c>
    </row>
    <row r="79" spans="1:26">
      <c r="A79" t="s">
        <v>216</v>
      </c>
      <c r="B79" t="s">
        <v>69</v>
      </c>
      <c r="C79" t="s">
        <v>70</v>
      </c>
      <c r="D79" t="s">
        <v>60</v>
      </c>
      <c r="E79" t="s">
        <v>215</v>
      </c>
      <c r="F79" t="s">
        <v>217</v>
      </c>
      <c r="G79">
        <v>5</v>
      </c>
      <c r="H79">
        <v>5</v>
      </c>
      <c r="I79" t="s">
        <v>72</v>
      </c>
      <c r="J79">
        <v>118</v>
      </c>
      <c r="K79">
        <v>107</v>
      </c>
      <c r="L79">
        <v>90.7</v>
      </c>
      <c r="M79">
        <v>5</v>
      </c>
      <c r="N79">
        <v>1</v>
      </c>
      <c r="O79">
        <v>6231</v>
      </c>
      <c r="P79">
        <v>1</v>
      </c>
      <c r="Q79">
        <v>95</v>
      </c>
      <c r="R79">
        <v>99</v>
      </c>
      <c r="S79" t="s">
        <v>41</v>
      </c>
      <c r="T79" t="s">
        <v>63</v>
      </c>
      <c r="U79" s="1">
        <f t="shared" si="6"/>
        <v>0.90677966101694918</v>
      </c>
      <c r="V79" s="1">
        <f t="shared" si="7"/>
        <v>4.2372881355932202E-2</v>
      </c>
      <c r="W79" s="2">
        <f t="shared" si="8"/>
        <v>8.4745762711864406E-3</v>
      </c>
      <c r="X79" s="2">
        <f t="shared" si="9"/>
        <v>52.805084745762713</v>
      </c>
      <c r="Y79" s="2">
        <f t="shared" si="10"/>
        <v>1.0421052631578946</v>
      </c>
      <c r="Z79" s="2">
        <f t="shared" si="11"/>
        <v>1</v>
      </c>
    </row>
    <row r="80" spans="1:26">
      <c r="A80" t="s">
        <v>218</v>
      </c>
      <c r="B80" t="s">
        <v>74</v>
      </c>
      <c r="C80" t="s">
        <v>75</v>
      </c>
      <c r="D80" t="s">
        <v>23</v>
      </c>
      <c r="E80" t="s">
        <v>217</v>
      </c>
      <c r="F80" t="s">
        <v>219</v>
      </c>
      <c r="G80">
        <v>8</v>
      </c>
      <c r="H80">
        <v>8</v>
      </c>
      <c r="I80" t="s">
        <v>77</v>
      </c>
      <c r="J80">
        <v>139</v>
      </c>
      <c r="K80">
        <v>125</v>
      </c>
      <c r="L80">
        <v>89.9</v>
      </c>
      <c r="M80">
        <v>5</v>
      </c>
      <c r="N80">
        <v>2</v>
      </c>
      <c r="O80">
        <v>4922</v>
      </c>
      <c r="P80">
        <v>8</v>
      </c>
      <c r="Q80">
        <v>95</v>
      </c>
      <c r="R80">
        <v>96</v>
      </c>
      <c r="S80" t="s">
        <v>41</v>
      </c>
      <c r="T80" t="s">
        <v>28</v>
      </c>
      <c r="U80" s="1">
        <f t="shared" si="6"/>
        <v>0.89928057553956831</v>
      </c>
      <c r="V80" s="1">
        <f t="shared" si="7"/>
        <v>3.5971223021582732E-2</v>
      </c>
      <c r="W80" s="2">
        <f t="shared" si="8"/>
        <v>1.4388489208633094E-2</v>
      </c>
      <c r="X80" s="2">
        <f t="shared" si="9"/>
        <v>35.410071942446045</v>
      </c>
      <c r="Y80" s="2">
        <f t="shared" si="10"/>
        <v>1.0105263157894737</v>
      </c>
      <c r="Z80" s="2">
        <f t="shared" si="11"/>
        <v>1</v>
      </c>
    </row>
    <row r="81" spans="1:26">
      <c r="A81" t="s">
        <v>220</v>
      </c>
      <c r="B81" t="s">
        <v>79</v>
      </c>
      <c r="C81" t="s">
        <v>52</v>
      </c>
      <c r="D81" t="s">
        <v>32</v>
      </c>
      <c r="E81" t="s">
        <v>219</v>
      </c>
      <c r="F81" t="s">
        <v>221</v>
      </c>
      <c r="G81">
        <v>10</v>
      </c>
      <c r="H81">
        <v>6</v>
      </c>
      <c r="I81" t="s">
        <v>81</v>
      </c>
      <c r="J81">
        <v>73</v>
      </c>
      <c r="K81">
        <v>64</v>
      </c>
      <c r="L81">
        <v>87.7</v>
      </c>
      <c r="M81">
        <v>1</v>
      </c>
      <c r="N81">
        <v>5</v>
      </c>
      <c r="O81">
        <v>4872</v>
      </c>
      <c r="P81">
        <v>2</v>
      </c>
      <c r="Q81">
        <v>95</v>
      </c>
      <c r="R81">
        <v>94</v>
      </c>
      <c r="S81" t="s">
        <v>41</v>
      </c>
      <c r="T81" t="s">
        <v>35</v>
      </c>
      <c r="U81" s="1">
        <f t="shared" si="6"/>
        <v>0.87671232876712324</v>
      </c>
      <c r="V81" s="1">
        <f t="shared" si="7"/>
        <v>1.3698630136986301E-2</v>
      </c>
      <c r="W81" s="2">
        <f t="shared" si="8"/>
        <v>6.8493150684931503E-2</v>
      </c>
      <c r="X81" s="2">
        <f t="shared" si="9"/>
        <v>66.739726027397253</v>
      </c>
      <c r="Y81" s="2">
        <f t="shared" si="10"/>
        <v>0.98947368421052628</v>
      </c>
      <c r="Z81" s="2">
        <f t="shared" si="11"/>
        <v>0.6</v>
      </c>
    </row>
    <row r="82" spans="1:26">
      <c r="A82" t="s">
        <v>222</v>
      </c>
      <c r="B82" t="s">
        <v>21</v>
      </c>
      <c r="C82" t="s">
        <v>22</v>
      </c>
      <c r="D82" t="s">
        <v>38</v>
      </c>
      <c r="E82" t="s">
        <v>221</v>
      </c>
      <c r="F82" t="s">
        <v>223</v>
      </c>
      <c r="G82">
        <v>10</v>
      </c>
      <c r="H82">
        <v>6</v>
      </c>
      <c r="I82" t="s">
        <v>26</v>
      </c>
      <c r="J82">
        <v>144</v>
      </c>
      <c r="K82">
        <v>141</v>
      </c>
      <c r="L82">
        <v>97.9</v>
      </c>
      <c r="M82">
        <v>1</v>
      </c>
      <c r="N82">
        <v>1</v>
      </c>
      <c r="O82">
        <v>6004</v>
      </c>
      <c r="P82">
        <v>6</v>
      </c>
      <c r="Q82">
        <v>95</v>
      </c>
      <c r="R82">
        <v>98</v>
      </c>
      <c r="S82" t="s">
        <v>41</v>
      </c>
      <c r="T82" t="s">
        <v>42</v>
      </c>
      <c r="U82" s="1">
        <f t="shared" si="6"/>
        <v>0.97916666666666663</v>
      </c>
      <c r="V82" s="1">
        <f t="shared" si="7"/>
        <v>6.9444444444444441E-3</v>
      </c>
      <c r="W82" s="2">
        <f t="shared" si="8"/>
        <v>6.9444444444444441E-3</v>
      </c>
      <c r="X82" s="2">
        <f t="shared" si="9"/>
        <v>41.694444444444443</v>
      </c>
      <c r="Y82" s="2">
        <f t="shared" si="10"/>
        <v>1.0315789473684212</v>
      </c>
      <c r="Z82" s="2">
        <f t="shared" si="11"/>
        <v>0.6</v>
      </c>
    </row>
    <row r="83" spans="1:26">
      <c r="A83" t="s">
        <v>224</v>
      </c>
      <c r="B83" t="s">
        <v>30</v>
      </c>
      <c r="C83" t="s">
        <v>31</v>
      </c>
      <c r="D83" t="s">
        <v>46</v>
      </c>
      <c r="E83" t="s">
        <v>223</v>
      </c>
      <c r="F83" t="s">
        <v>225</v>
      </c>
      <c r="G83">
        <v>7</v>
      </c>
      <c r="H83">
        <v>4</v>
      </c>
      <c r="I83" t="s">
        <v>34</v>
      </c>
      <c r="J83">
        <v>110</v>
      </c>
      <c r="K83">
        <v>107</v>
      </c>
      <c r="L83">
        <v>97.3</v>
      </c>
      <c r="M83">
        <v>2</v>
      </c>
      <c r="N83">
        <v>2</v>
      </c>
      <c r="O83">
        <v>4856</v>
      </c>
      <c r="P83">
        <v>8</v>
      </c>
      <c r="Q83">
        <v>95</v>
      </c>
      <c r="R83">
        <v>95</v>
      </c>
      <c r="S83" t="s">
        <v>41</v>
      </c>
      <c r="T83" t="s">
        <v>49</v>
      </c>
      <c r="U83" s="1">
        <f t="shared" si="6"/>
        <v>0.97272727272727277</v>
      </c>
      <c r="V83" s="1">
        <f t="shared" si="7"/>
        <v>1.8181818181818181E-2</v>
      </c>
      <c r="W83" s="2">
        <f t="shared" si="8"/>
        <v>1.8181818181818181E-2</v>
      </c>
      <c r="X83" s="2">
        <f t="shared" si="9"/>
        <v>44.145454545454548</v>
      </c>
      <c r="Y83" s="2">
        <f t="shared" si="10"/>
        <v>1</v>
      </c>
      <c r="Z83" s="2">
        <f t="shared" si="11"/>
        <v>0.5714285714285714</v>
      </c>
    </row>
    <row r="84" spans="1:26">
      <c r="A84" t="s">
        <v>226</v>
      </c>
      <c r="B84" t="s">
        <v>37</v>
      </c>
      <c r="C84" t="s">
        <v>22</v>
      </c>
      <c r="D84" t="s">
        <v>53</v>
      </c>
      <c r="E84" t="s">
        <v>225</v>
      </c>
      <c r="F84" t="s">
        <v>227</v>
      </c>
      <c r="G84">
        <v>8</v>
      </c>
      <c r="H84">
        <v>7</v>
      </c>
      <c r="I84" t="s">
        <v>40</v>
      </c>
      <c r="J84">
        <v>132</v>
      </c>
      <c r="K84">
        <v>121</v>
      </c>
      <c r="L84">
        <v>91.7</v>
      </c>
      <c r="M84">
        <v>4</v>
      </c>
      <c r="N84">
        <v>1</v>
      </c>
      <c r="O84">
        <v>4481</v>
      </c>
      <c r="P84">
        <v>2</v>
      </c>
      <c r="Q84">
        <v>95</v>
      </c>
      <c r="R84">
        <v>93</v>
      </c>
      <c r="S84" t="s">
        <v>41</v>
      </c>
      <c r="T84" t="s">
        <v>56</v>
      </c>
      <c r="U84" s="1">
        <f t="shared" si="6"/>
        <v>0.91666666666666663</v>
      </c>
      <c r="V84" s="1">
        <f t="shared" si="7"/>
        <v>3.0303030303030304E-2</v>
      </c>
      <c r="W84" s="2">
        <f t="shared" si="8"/>
        <v>7.575757575757576E-3</v>
      </c>
      <c r="X84" s="2">
        <f t="shared" si="9"/>
        <v>33.946969696969695</v>
      </c>
      <c r="Y84" s="2">
        <f t="shared" si="10"/>
        <v>0.97894736842105268</v>
      </c>
      <c r="Z84" s="2">
        <f t="shared" si="11"/>
        <v>0.875</v>
      </c>
    </row>
    <row r="85" spans="1:26">
      <c r="A85" t="s">
        <v>228</v>
      </c>
      <c r="B85" t="s">
        <v>44</v>
      </c>
      <c r="C85" t="s">
        <v>45</v>
      </c>
      <c r="D85" t="s">
        <v>60</v>
      </c>
      <c r="E85" t="s">
        <v>227</v>
      </c>
      <c r="F85" t="s">
        <v>229</v>
      </c>
      <c r="G85">
        <v>10</v>
      </c>
      <c r="H85">
        <v>7</v>
      </c>
      <c r="I85" t="s">
        <v>48</v>
      </c>
      <c r="J85">
        <v>159</v>
      </c>
      <c r="K85">
        <v>155</v>
      </c>
      <c r="L85">
        <v>97.5</v>
      </c>
      <c r="M85">
        <v>4</v>
      </c>
      <c r="N85">
        <v>5</v>
      </c>
      <c r="O85">
        <v>6908</v>
      </c>
      <c r="P85">
        <v>3</v>
      </c>
      <c r="Q85">
        <v>95</v>
      </c>
      <c r="R85">
        <v>90</v>
      </c>
      <c r="S85" t="s">
        <v>27</v>
      </c>
      <c r="T85" t="s">
        <v>63</v>
      </c>
      <c r="U85" s="1">
        <f t="shared" si="6"/>
        <v>0.97484276729559749</v>
      </c>
      <c r="V85" s="1">
        <f t="shared" si="7"/>
        <v>2.5157232704402517E-2</v>
      </c>
      <c r="W85" s="2">
        <f t="shared" si="8"/>
        <v>3.1446540880503145E-2</v>
      </c>
      <c r="X85" s="2">
        <f t="shared" si="9"/>
        <v>43.446540880503143</v>
      </c>
      <c r="Y85" s="2">
        <f t="shared" si="10"/>
        <v>0.94736842105263153</v>
      </c>
      <c r="Z85" s="2">
        <f t="shared" si="11"/>
        <v>0.7</v>
      </c>
    </row>
    <row r="86" spans="1:26">
      <c r="A86" t="s">
        <v>230</v>
      </c>
      <c r="B86" t="s">
        <v>51</v>
      </c>
      <c r="C86" t="s">
        <v>52</v>
      </c>
      <c r="D86" t="s">
        <v>23</v>
      </c>
      <c r="E86" t="s">
        <v>229</v>
      </c>
      <c r="F86" t="s">
        <v>231</v>
      </c>
      <c r="G86">
        <v>6</v>
      </c>
      <c r="H86">
        <v>6</v>
      </c>
      <c r="I86" t="s">
        <v>55</v>
      </c>
      <c r="J86">
        <v>84</v>
      </c>
      <c r="K86">
        <v>71</v>
      </c>
      <c r="L86">
        <v>84.5</v>
      </c>
      <c r="M86">
        <v>8</v>
      </c>
      <c r="N86">
        <v>2</v>
      </c>
      <c r="O86">
        <v>4610</v>
      </c>
      <c r="P86">
        <v>1</v>
      </c>
      <c r="Q86">
        <v>95</v>
      </c>
      <c r="R86">
        <v>99</v>
      </c>
      <c r="S86" t="s">
        <v>41</v>
      </c>
      <c r="T86" t="s">
        <v>28</v>
      </c>
      <c r="U86" s="1">
        <f t="shared" si="6"/>
        <v>0.84523809523809523</v>
      </c>
      <c r="V86" s="1">
        <f t="shared" si="7"/>
        <v>9.5238095238095233E-2</v>
      </c>
      <c r="W86" s="2">
        <f t="shared" si="8"/>
        <v>2.3809523809523808E-2</v>
      </c>
      <c r="X86" s="2">
        <f t="shared" si="9"/>
        <v>54.88095238095238</v>
      </c>
      <c r="Y86" s="2">
        <f t="shared" si="10"/>
        <v>1.0421052631578946</v>
      </c>
      <c r="Z86" s="2">
        <f t="shared" si="11"/>
        <v>1</v>
      </c>
    </row>
    <row r="87" spans="1:26">
      <c r="A87" t="s">
        <v>232</v>
      </c>
      <c r="B87" t="s">
        <v>58</v>
      </c>
      <c r="C87" t="s">
        <v>59</v>
      </c>
      <c r="D87" t="s">
        <v>32</v>
      </c>
      <c r="E87" t="s">
        <v>231</v>
      </c>
      <c r="F87" t="s">
        <v>233</v>
      </c>
      <c r="G87">
        <v>7</v>
      </c>
      <c r="H87">
        <v>5</v>
      </c>
      <c r="I87" t="s">
        <v>62</v>
      </c>
      <c r="J87">
        <v>73</v>
      </c>
      <c r="K87">
        <v>62</v>
      </c>
      <c r="L87">
        <v>84.9</v>
      </c>
      <c r="M87">
        <v>7</v>
      </c>
      <c r="N87">
        <v>4</v>
      </c>
      <c r="O87">
        <v>5332</v>
      </c>
      <c r="P87">
        <v>6</v>
      </c>
      <c r="Q87">
        <v>95</v>
      </c>
      <c r="R87">
        <v>93</v>
      </c>
      <c r="S87" t="s">
        <v>41</v>
      </c>
      <c r="T87" t="s">
        <v>35</v>
      </c>
      <c r="U87" s="1">
        <f t="shared" si="6"/>
        <v>0.84931506849315064</v>
      </c>
      <c r="V87" s="1">
        <f t="shared" si="7"/>
        <v>9.5890410958904104E-2</v>
      </c>
      <c r="W87" s="2">
        <f t="shared" si="8"/>
        <v>5.4794520547945202E-2</v>
      </c>
      <c r="X87" s="2">
        <f t="shared" si="9"/>
        <v>73.041095890410958</v>
      </c>
      <c r="Y87" s="2">
        <f t="shared" si="10"/>
        <v>0.97894736842105268</v>
      </c>
      <c r="Z87" s="2">
        <f t="shared" si="11"/>
        <v>0.7142857142857143</v>
      </c>
    </row>
    <row r="88" spans="1:26">
      <c r="A88" t="s">
        <v>234</v>
      </c>
      <c r="B88" t="s">
        <v>65</v>
      </c>
      <c r="C88" t="s">
        <v>45</v>
      </c>
      <c r="D88" t="s">
        <v>38</v>
      </c>
      <c r="E88" t="s">
        <v>233</v>
      </c>
      <c r="F88" t="s">
        <v>235</v>
      </c>
      <c r="G88">
        <v>9</v>
      </c>
      <c r="H88">
        <v>8</v>
      </c>
      <c r="I88" t="s">
        <v>67</v>
      </c>
      <c r="J88">
        <v>145</v>
      </c>
      <c r="K88">
        <v>130</v>
      </c>
      <c r="L88">
        <v>89.7</v>
      </c>
      <c r="M88">
        <v>6</v>
      </c>
      <c r="N88">
        <v>4</v>
      </c>
      <c r="O88">
        <v>5731</v>
      </c>
      <c r="P88">
        <v>7</v>
      </c>
      <c r="Q88">
        <v>95</v>
      </c>
      <c r="R88">
        <v>93</v>
      </c>
      <c r="S88" t="s">
        <v>41</v>
      </c>
      <c r="T88" t="s">
        <v>42</v>
      </c>
      <c r="U88" s="1">
        <f t="shared" si="6"/>
        <v>0.89655172413793105</v>
      </c>
      <c r="V88" s="1">
        <f t="shared" si="7"/>
        <v>4.1379310344827586E-2</v>
      </c>
      <c r="W88" s="2">
        <f t="shared" si="8"/>
        <v>2.7586206896551724E-2</v>
      </c>
      <c r="X88" s="2">
        <f t="shared" si="9"/>
        <v>39.524137931034481</v>
      </c>
      <c r="Y88" s="2">
        <f t="shared" si="10"/>
        <v>0.97894736842105268</v>
      </c>
      <c r="Z88" s="2">
        <f t="shared" si="11"/>
        <v>0.88888888888888884</v>
      </c>
    </row>
    <row r="89" spans="1:26">
      <c r="A89" t="s">
        <v>236</v>
      </c>
      <c r="B89" t="s">
        <v>69</v>
      </c>
      <c r="C89" t="s">
        <v>70</v>
      </c>
      <c r="D89" t="s">
        <v>46</v>
      </c>
      <c r="E89" t="s">
        <v>235</v>
      </c>
      <c r="F89" t="s">
        <v>237</v>
      </c>
      <c r="G89">
        <v>10</v>
      </c>
      <c r="H89">
        <v>8</v>
      </c>
      <c r="I89" t="s">
        <v>72</v>
      </c>
      <c r="J89">
        <v>138</v>
      </c>
      <c r="K89">
        <v>135</v>
      </c>
      <c r="L89">
        <v>97.8</v>
      </c>
      <c r="M89">
        <v>6</v>
      </c>
      <c r="N89">
        <v>3</v>
      </c>
      <c r="O89">
        <v>6230</v>
      </c>
      <c r="P89">
        <v>4</v>
      </c>
      <c r="Q89">
        <v>95</v>
      </c>
      <c r="R89">
        <v>97</v>
      </c>
      <c r="S89" t="s">
        <v>41</v>
      </c>
      <c r="T89" t="s">
        <v>49</v>
      </c>
      <c r="U89" s="1">
        <f t="shared" si="6"/>
        <v>0.97826086956521741</v>
      </c>
      <c r="V89" s="1">
        <f t="shared" si="7"/>
        <v>4.3478260869565216E-2</v>
      </c>
      <c r="W89" s="2">
        <f t="shared" si="8"/>
        <v>2.1739130434782608E-2</v>
      </c>
      <c r="X89" s="2">
        <f t="shared" si="9"/>
        <v>45.144927536231883</v>
      </c>
      <c r="Y89" s="2">
        <f t="shared" si="10"/>
        <v>1.0210526315789474</v>
      </c>
      <c r="Z89" s="2">
        <f t="shared" si="11"/>
        <v>0.8</v>
      </c>
    </row>
    <row r="90" spans="1:26">
      <c r="A90" t="s">
        <v>238</v>
      </c>
      <c r="B90" t="s">
        <v>74</v>
      </c>
      <c r="C90" t="s">
        <v>75</v>
      </c>
      <c r="D90" t="s">
        <v>53</v>
      </c>
      <c r="E90" t="s">
        <v>237</v>
      </c>
      <c r="F90" t="s">
        <v>239</v>
      </c>
      <c r="G90">
        <v>9</v>
      </c>
      <c r="H90">
        <v>8</v>
      </c>
      <c r="I90" t="s">
        <v>77</v>
      </c>
      <c r="J90">
        <v>164</v>
      </c>
      <c r="K90">
        <v>159</v>
      </c>
      <c r="L90">
        <v>97</v>
      </c>
      <c r="M90">
        <v>6</v>
      </c>
      <c r="N90">
        <v>2</v>
      </c>
      <c r="O90">
        <v>6822</v>
      </c>
      <c r="P90">
        <v>6</v>
      </c>
      <c r="Q90">
        <v>95</v>
      </c>
      <c r="R90">
        <v>94</v>
      </c>
      <c r="S90" t="s">
        <v>41</v>
      </c>
      <c r="T90" t="s">
        <v>56</v>
      </c>
      <c r="U90" s="1">
        <f t="shared" si="6"/>
        <v>0.96951219512195119</v>
      </c>
      <c r="V90" s="1">
        <f t="shared" si="7"/>
        <v>3.6585365853658534E-2</v>
      </c>
      <c r="W90" s="2">
        <f t="shared" si="8"/>
        <v>1.2195121951219513E-2</v>
      </c>
      <c r="X90" s="2">
        <f t="shared" si="9"/>
        <v>41.597560975609753</v>
      </c>
      <c r="Y90" s="2">
        <f t="shared" si="10"/>
        <v>0.98947368421052628</v>
      </c>
      <c r="Z90" s="2">
        <f t="shared" si="11"/>
        <v>0.88888888888888884</v>
      </c>
    </row>
    <row r="91" spans="1:26">
      <c r="A91" t="s">
        <v>240</v>
      </c>
      <c r="B91" t="s">
        <v>79</v>
      </c>
      <c r="C91" t="s">
        <v>52</v>
      </c>
      <c r="D91" t="s">
        <v>60</v>
      </c>
      <c r="E91" t="s">
        <v>239</v>
      </c>
      <c r="F91" t="s">
        <v>241</v>
      </c>
      <c r="G91">
        <v>10</v>
      </c>
      <c r="H91">
        <v>8</v>
      </c>
      <c r="I91" t="s">
        <v>81</v>
      </c>
      <c r="J91">
        <v>111</v>
      </c>
      <c r="K91">
        <v>106</v>
      </c>
      <c r="L91">
        <v>95.5</v>
      </c>
      <c r="M91">
        <v>4</v>
      </c>
      <c r="N91">
        <v>4</v>
      </c>
      <c r="O91">
        <v>5093</v>
      </c>
      <c r="P91">
        <v>4</v>
      </c>
      <c r="Q91">
        <v>95</v>
      </c>
      <c r="R91">
        <v>98</v>
      </c>
      <c r="S91" t="s">
        <v>41</v>
      </c>
      <c r="T91" t="s">
        <v>63</v>
      </c>
      <c r="U91" s="1">
        <f t="shared" si="6"/>
        <v>0.95495495495495497</v>
      </c>
      <c r="V91" s="1">
        <f t="shared" si="7"/>
        <v>3.6036036036036036E-2</v>
      </c>
      <c r="W91" s="2">
        <f t="shared" si="8"/>
        <v>3.6036036036036036E-2</v>
      </c>
      <c r="X91" s="2">
        <f t="shared" si="9"/>
        <v>45.882882882882882</v>
      </c>
      <c r="Y91" s="2">
        <f t="shared" si="10"/>
        <v>1.0315789473684212</v>
      </c>
      <c r="Z91" s="2">
        <f t="shared" si="11"/>
        <v>0.8</v>
      </c>
    </row>
    <row r="92" spans="1:26">
      <c r="A92" t="s">
        <v>242</v>
      </c>
      <c r="B92" t="s">
        <v>21</v>
      </c>
      <c r="C92" t="s">
        <v>22</v>
      </c>
      <c r="D92" t="s">
        <v>23</v>
      </c>
      <c r="E92" t="s">
        <v>241</v>
      </c>
      <c r="F92" t="s">
        <v>243</v>
      </c>
      <c r="G92">
        <v>12</v>
      </c>
      <c r="H92">
        <v>8</v>
      </c>
      <c r="I92" t="s">
        <v>26</v>
      </c>
      <c r="J92">
        <v>110</v>
      </c>
      <c r="K92">
        <v>108</v>
      </c>
      <c r="L92">
        <v>98.2</v>
      </c>
      <c r="M92">
        <v>2</v>
      </c>
      <c r="N92">
        <v>5</v>
      </c>
      <c r="O92">
        <v>3802</v>
      </c>
      <c r="P92">
        <v>4</v>
      </c>
      <c r="Q92">
        <v>95</v>
      </c>
      <c r="R92">
        <v>85</v>
      </c>
      <c r="S92" t="s">
        <v>27</v>
      </c>
      <c r="T92" t="s">
        <v>28</v>
      </c>
      <c r="U92" s="1">
        <f t="shared" si="6"/>
        <v>0.98181818181818181</v>
      </c>
      <c r="V92" s="1">
        <f t="shared" si="7"/>
        <v>1.8181818181818181E-2</v>
      </c>
      <c r="W92" s="2">
        <f t="shared" si="8"/>
        <v>4.5454545454545456E-2</v>
      </c>
      <c r="X92" s="2">
        <f t="shared" si="9"/>
        <v>34.563636363636363</v>
      </c>
      <c r="Y92" s="2">
        <f t="shared" si="10"/>
        <v>0.89473684210526316</v>
      </c>
      <c r="Z92" s="2">
        <f t="shared" si="11"/>
        <v>0.66666666666666663</v>
      </c>
    </row>
    <row r="93" spans="1:26">
      <c r="A93" t="s">
        <v>244</v>
      </c>
      <c r="B93" t="s">
        <v>30</v>
      </c>
      <c r="C93" t="s">
        <v>31</v>
      </c>
      <c r="D93" t="s">
        <v>32</v>
      </c>
      <c r="E93" t="s">
        <v>243</v>
      </c>
      <c r="F93" t="s">
        <v>245</v>
      </c>
      <c r="G93">
        <v>8</v>
      </c>
      <c r="H93">
        <v>5</v>
      </c>
      <c r="I93" t="s">
        <v>34</v>
      </c>
      <c r="J93">
        <v>76</v>
      </c>
      <c r="K93">
        <v>71</v>
      </c>
      <c r="L93">
        <v>93.4</v>
      </c>
      <c r="M93">
        <v>4</v>
      </c>
      <c r="N93">
        <v>4</v>
      </c>
      <c r="O93">
        <v>5986</v>
      </c>
      <c r="P93">
        <v>4</v>
      </c>
      <c r="Q93">
        <v>95</v>
      </c>
      <c r="R93">
        <v>96</v>
      </c>
      <c r="S93" t="s">
        <v>41</v>
      </c>
      <c r="T93" t="s">
        <v>35</v>
      </c>
      <c r="U93" s="1">
        <f t="shared" si="6"/>
        <v>0.93421052631578949</v>
      </c>
      <c r="V93" s="1">
        <f t="shared" si="7"/>
        <v>5.2631578947368418E-2</v>
      </c>
      <c r="W93" s="2">
        <f t="shared" si="8"/>
        <v>5.2631578947368418E-2</v>
      </c>
      <c r="X93" s="2">
        <f t="shared" si="9"/>
        <v>78.763157894736835</v>
      </c>
      <c r="Y93" s="2">
        <f t="shared" si="10"/>
        <v>1.0105263157894737</v>
      </c>
      <c r="Z93" s="2">
        <f t="shared" si="11"/>
        <v>0.625</v>
      </c>
    </row>
    <row r="94" spans="1:26">
      <c r="A94" t="s">
        <v>246</v>
      </c>
      <c r="B94" t="s">
        <v>37</v>
      </c>
      <c r="C94" t="s">
        <v>22</v>
      </c>
      <c r="D94" t="s">
        <v>38</v>
      </c>
      <c r="E94" t="s">
        <v>245</v>
      </c>
      <c r="F94" t="s">
        <v>247</v>
      </c>
      <c r="G94">
        <v>6</v>
      </c>
      <c r="H94">
        <v>6</v>
      </c>
      <c r="I94" t="s">
        <v>40</v>
      </c>
      <c r="J94">
        <v>93</v>
      </c>
      <c r="K94">
        <v>79</v>
      </c>
      <c r="L94">
        <v>84.9</v>
      </c>
      <c r="M94">
        <v>3</v>
      </c>
      <c r="N94">
        <v>4</v>
      </c>
      <c r="O94">
        <v>5396</v>
      </c>
      <c r="P94">
        <v>4</v>
      </c>
      <c r="Q94">
        <v>95</v>
      </c>
      <c r="R94">
        <v>99</v>
      </c>
      <c r="S94" t="s">
        <v>41</v>
      </c>
      <c r="T94" t="s">
        <v>42</v>
      </c>
      <c r="U94" s="1">
        <f t="shared" si="6"/>
        <v>0.84946236559139787</v>
      </c>
      <c r="V94" s="1">
        <f t="shared" si="7"/>
        <v>3.2258064516129031E-2</v>
      </c>
      <c r="W94" s="2">
        <f t="shared" si="8"/>
        <v>4.3010752688172046E-2</v>
      </c>
      <c r="X94" s="2">
        <f t="shared" si="9"/>
        <v>58.021505376344088</v>
      </c>
      <c r="Y94" s="2">
        <f t="shared" si="10"/>
        <v>1.0421052631578946</v>
      </c>
      <c r="Z94" s="2">
        <f t="shared" si="11"/>
        <v>1</v>
      </c>
    </row>
    <row r="95" spans="1:26">
      <c r="A95" t="s">
        <v>248</v>
      </c>
      <c r="B95" t="s">
        <v>44</v>
      </c>
      <c r="C95" t="s">
        <v>45</v>
      </c>
      <c r="D95" t="s">
        <v>46</v>
      </c>
      <c r="E95" t="s">
        <v>247</v>
      </c>
      <c r="F95" t="s">
        <v>249</v>
      </c>
      <c r="G95">
        <v>8</v>
      </c>
      <c r="H95">
        <v>4</v>
      </c>
      <c r="I95" t="s">
        <v>48</v>
      </c>
      <c r="J95">
        <v>144</v>
      </c>
      <c r="K95">
        <v>132</v>
      </c>
      <c r="L95">
        <v>91.7</v>
      </c>
      <c r="M95">
        <v>4</v>
      </c>
      <c r="N95">
        <v>4</v>
      </c>
      <c r="O95">
        <v>5207</v>
      </c>
      <c r="P95">
        <v>3</v>
      </c>
      <c r="Q95">
        <v>95</v>
      </c>
      <c r="R95">
        <v>86</v>
      </c>
      <c r="S95" t="s">
        <v>27</v>
      </c>
      <c r="T95" t="s">
        <v>49</v>
      </c>
      <c r="U95" s="1">
        <f t="shared" si="6"/>
        <v>0.91666666666666663</v>
      </c>
      <c r="V95" s="1">
        <f t="shared" si="7"/>
        <v>2.7777777777777776E-2</v>
      </c>
      <c r="W95" s="2">
        <f t="shared" si="8"/>
        <v>2.7777777777777776E-2</v>
      </c>
      <c r="X95" s="2">
        <f t="shared" si="9"/>
        <v>36.159722222222221</v>
      </c>
      <c r="Y95" s="2">
        <f t="shared" si="10"/>
        <v>0.90526315789473688</v>
      </c>
      <c r="Z95" s="2">
        <f t="shared" si="11"/>
        <v>0.5</v>
      </c>
    </row>
    <row r="96" spans="1:26">
      <c r="A96" t="s">
        <v>250</v>
      </c>
      <c r="B96" t="s">
        <v>51</v>
      </c>
      <c r="C96" t="s">
        <v>52</v>
      </c>
      <c r="D96" t="s">
        <v>53</v>
      </c>
      <c r="E96" t="s">
        <v>249</v>
      </c>
      <c r="F96" t="s">
        <v>251</v>
      </c>
      <c r="G96">
        <v>8</v>
      </c>
      <c r="H96">
        <v>7</v>
      </c>
      <c r="I96" t="s">
        <v>55</v>
      </c>
      <c r="J96">
        <v>151</v>
      </c>
      <c r="K96">
        <v>134</v>
      </c>
      <c r="L96">
        <v>88.7</v>
      </c>
      <c r="M96">
        <v>8</v>
      </c>
      <c r="N96">
        <v>1</v>
      </c>
      <c r="O96">
        <v>6435</v>
      </c>
      <c r="P96">
        <v>3</v>
      </c>
      <c r="Q96">
        <v>95</v>
      </c>
      <c r="R96">
        <v>88</v>
      </c>
      <c r="S96" t="s">
        <v>27</v>
      </c>
      <c r="T96" t="s">
        <v>56</v>
      </c>
      <c r="U96" s="1">
        <f t="shared" si="6"/>
        <v>0.88741721854304634</v>
      </c>
      <c r="V96" s="1">
        <f t="shared" si="7"/>
        <v>5.2980132450331126E-2</v>
      </c>
      <c r="W96" s="2">
        <f t="shared" si="8"/>
        <v>6.6225165562913907E-3</v>
      </c>
      <c r="X96" s="2">
        <f t="shared" si="9"/>
        <v>42.615894039735096</v>
      </c>
      <c r="Y96" s="2">
        <f t="shared" si="10"/>
        <v>0.9263157894736842</v>
      </c>
      <c r="Z96" s="2">
        <f t="shared" si="11"/>
        <v>0.875</v>
      </c>
    </row>
    <row r="97" spans="1:26">
      <c r="A97" t="s">
        <v>252</v>
      </c>
      <c r="B97" t="s">
        <v>58</v>
      </c>
      <c r="C97" t="s">
        <v>59</v>
      </c>
      <c r="D97" t="s">
        <v>60</v>
      </c>
      <c r="E97" t="s">
        <v>251</v>
      </c>
      <c r="F97" t="s">
        <v>253</v>
      </c>
      <c r="G97">
        <v>6</v>
      </c>
      <c r="H97">
        <v>4</v>
      </c>
      <c r="I97" t="s">
        <v>62</v>
      </c>
      <c r="J97">
        <v>142</v>
      </c>
      <c r="K97">
        <v>135</v>
      </c>
      <c r="L97">
        <v>95.1</v>
      </c>
      <c r="M97">
        <v>2</v>
      </c>
      <c r="N97">
        <v>5</v>
      </c>
      <c r="O97">
        <v>6078</v>
      </c>
      <c r="P97">
        <v>5</v>
      </c>
      <c r="Q97">
        <v>95</v>
      </c>
      <c r="R97">
        <v>86</v>
      </c>
      <c r="S97" t="s">
        <v>27</v>
      </c>
      <c r="T97" t="s">
        <v>63</v>
      </c>
      <c r="U97" s="1">
        <f t="shared" si="6"/>
        <v>0.95070422535211263</v>
      </c>
      <c r="V97" s="1">
        <f t="shared" si="7"/>
        <v>1.4084507042253521E-2</v>
      </c>
      <c r="W97" s="2">
        <f t="shared" si="8"/>
        <v>3.5211267605633804E-2</v>
      </c>
      <c r="X97" s="2">
        <f t="shared" si="9"/>
        <v>42.802816901408448</v>
      </c>
      <c r="Y97" s="2">
        <f t="shared" si="10"/>
        <v>0.90526315789473688</v>
      </c>
      <c r="Z97" s="2">
        <f t="shared" si="11"/>
        <v>0.66666666666666663</v>
      </c>
    </row>
    <row r="98" spans="1:26">
      <c r="A98" t="s">
        <v>254</v>
      </c>
      <c r="B98" t="s">
        <v>65</v>
      </c>
      <c r="C98" t="s">
        <v>45</v>
      </c>
      <c r="D98" t="s">
        <v>23</v>
      </c>
      <c r="E98" t="s">
        <v>253</v>
      </c>
      <c r="F98" t="s">
        <v>255</v>
      </c>
      <c r="G98">
        <v>7</v>
      </c>
      <c r="H98">
        <v>5</v>
      </c>
      <c r="I98" t="s">
        <v>67</v>
      </c>
      <c r="J98">
        <v>101</v>
      </c>
      <c r="K98">
        <v>84</v>
      </c>
      <c r="L98">
        <v>83.2</v>
      </c>
      <c r="M98">
        <v>3</v>
      </c>
      <c r="N98">
        <v>3</v>
      </c>
      <c r="O98">
        <v>5060</v>
      </c>
      <c r="P98">
        <v>5</v>
      </c>
      <c r="Q98">
        <v>95</v>
      </c>
      <c r="R98">
        <v>88</v>
      </c>
      <c r="S98" t="s">
        <v>27</v>
      </c>
      <c r="T98" t="s">
        <v>28</v>
      </c>
      <c r="U98" s="1">
        <f t="shared" si="6"/>
        <v>0.83168316831683164</v>
      </c>
      <c r="V98" s="1">
        <f t="shared" si="7"/>
        <v>2.9702970297029702E-2</v>
      </c>
      <c r="W98" s="2">
        <f t="shared" si="8"/>
        <v>2.9702970297029702E-2</v>
      </c>
      <c r="X98" s="2">
        <f t="shared" si="9"/>
        <v>50.099009900990097</v>
      </c>
      <c r="Y98" s="2">
        <f t="shared" si="10"/>
        <v>0.9263157894736842</v>
      </c>
      <c r="Z98" s="2">
        <f t="shared" si="11"/>
        <v>0.7142857142857143</v>
      </c>
    </row>
    <row r="99" spans="1:26">
      <c r="A99" t="s">
        <v>256</v>
      </c>
      <c r="B99" t="s">
        <v>69</v>
      </c>
      <c r="C99" t="s">
        <v>70</v>
      </c>
      <c r="D99" t="s">
        <v>32</v>
      </c>
      <c r="E99" t="s">
        <v>255</v>
      </c>
      <c r="F99" t="s">
        <v>257</v>
      </c>
      <c r="G99">
        <v>4</v>
      </c>
      <c r="H99">
        <v>4</v>
      </c>
      <c r="I99" t="s">
        <v>72</v>
      </c>
      <c r="J99">
        <v>151</v>
      </c>
      <c r="K99">
        <v>138</v>
      </c>
      <c r="L99">
        <v>91.4</v>
      </c>
      <c r="M99">
        <v>3</v>
      </c>
      <c r="N99">
        <v>2</v>
      </c>
      <c r="O99">
        <v>5683</v>
      </c>
      <c r="P99">
        <v>7</v>
      </c>
      <c r="Q99">
        <v>95</v>
      </c>
      <c r="R99">
        <v>93</v>
      </c>
      <c r="S99" t="s">
        <v>41</v>
      </c>
      <c r="T99" t="s">
        <v>35</v>
      </c>
      <c r="U99" s="1">
        <f t="shared" si="6"/>
        <v>0.91390728476821192</v>
      </c>
      <c r="V99" s="1">
        <f t="shared" si="7"/>
        <v>1.9867549668874173E-2</v>
      </c>
      <c r="W99" s="2">
        <f t="shared" si="8"/>
        <v>1.3245033112582781E-2</v>
      </c>
      <c r="X99" s="2">
        <f t="shared" si="9"/>
        <v>37.635761589403977</v>
      </c>
      <c r="Y99" s="2">
        <f t="shared" si="10"/>
        <v>0.97894736842105268</v>
      </c>
      <c r="Z99" s="2">
        <f t="shared" si="11"/>
        <v>1</v>
      </c>
    </row>
    <row r="100" spans="1:26">
      <c r="A100" t="s">
        <v>258</v>
      </c>
      <c r="B100" t="s">
        <v>74</v>
      </c>
      <c r="C100" t="s">
        <v>75</v>
      </c>
      <c r="D100" t="s">
        <v>38</v>
      </c>
      <c r="E100" t="s">
        <v>257</v>
      </c>
      <c r="F100" t="s">
        <v>259</v>
      </c>
      <c r="G100">
        <v>4</v>
      </c>
      <c r="H100">
        <v>4</v>
      </c>
      <c r="I100" t="s">
        <v>77</v>
      </c>
      <c r="J100">
        <v>94</v>
      </c>
      <c r="K100">
        <v>81</v>
      </c>
      <c r="L100">
        <v>86.2</v>
      </c>
      <c r="M100">
        <v>3</v>
      </c>
      <c r="N100">
        <v>5</v>
      </c>
      <c r="O100">
        <v>7188</v>
      </c>
      <c r="P100">
        <v>2</v>
      </c>
      <c r="Q100">
        <v>95</v>
      </c>
      <c r="R100">
        <v>90</v>
      </c>
      <c r="S100" t="s">
        <v>27</v>
      </c>
      <c r="T100" t="s">
        <v>42</v>
      </c>
      <c r="U100" s="1">
        <f t="shared" si="6"/>
        <v>0.86170212765957444</v>
      </c>
      <c r="V100" s="1">
        <f t="shared" si="7"/>
        <v>3.1914893617021274E-2</v>
      </c>
      <c r="W100" s="2">
        <f t="shared" si="8"/>
        <v>5.3191489361702128E-2</v>
      </c>
      <c r="X100" s="2">
        <f t="shared" si="9"/>
        <v>76.468085106382972</v>
      </c>
      <c r="Y100" s="2">
        <f t="shared" si="10"/>
        <v>0.94736842105263153</v>
      </c>
      <c r="Z100" s="2">
        <f t="shared" si="11"/>
        <v>1</v>
      </c>
    </row>
    <row r="101" spans="1:26">
      <c r="A101" t="s">
        <v>260</v>
      </c>
      <c r="B101" t="s">
        <v>79</v>
      </c>
      <c r="C101" t="s">
        <v>52</v>
      </c>
      <c r="D101" t="s">
        <v>46</v>
      </c>
      <c r="E101" t="s">
        <v>259</v>
      </c>
      <c r="F101" t="s">
        <v>261</v>
      </c>
      <c r="G101">
        <v>10</v>
      </c>
      <c r="H101">
        <v>5</v>
      </c>
      <c r="I101" t="s">
        <v>81</v>
      </c>
      <c r="J101">
        <v>170</v>
      </c>
      <c r="K101">
        <v>166</v>
      </c>
      <c r="L101">
        <v>97.6</v>
      </c>
      <c r="M101">
        <v>7</v>
      </c>
      <c r="N101">
        <v>3</v>
      </c>
      <c r="O101">
        <v>7565</v>
      </c>
      <c r="P101">
        <v>3</v>
      </c>
      <c r="Q101">
        <v>95</v>
      </c>
      <c r="R101">
        <v>89</v>
      </c>
      <c r="S101" t="s">
        <v>27</v>
      </c>
      <c r="T101" t="s">
        <v>49</v>
      </c>
      <c r="U101" s="1">
        <f t="shared" si="6"/>
        <v>0.97647058823529409</v>
      </c>
      <c r="V101" s="1">
        <f t="shared" si="7"/>
        <v>4.1176470588235294E-2</v>
      </c>
      <c r="W101" s="2">
        <f t="shared" si="8"/>
        <v>1.7647058823529412E-2</v>
      </c>
      <c r="X101" s="2">
        <f t="shared" si="9"/>
        <v>44.5</v>
      </c>
      <c r="Y101" s="2">
        <f t="shared" si="10"/>
        <v>0.93684210526315792</v>
      </c>
      <c r="Z101" s="2">
        <f t="shared" si="11"/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</cp:lastModifiedBy>
  <dcterms:created xsi:type="dcterms:W3CDTF">2026-06-11T12:16:35Z</dcterms:created>
  <dcterms:modified xsi:type="dcterms:W3CDTF">2026-06-11T12:31:47Z</dcterms:modified>
</cp:coreProperties>
</file>